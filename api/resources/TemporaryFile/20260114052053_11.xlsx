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<sst xmlns="http://schemas.openxmlformats.org/spreadsheetml/2006/main" count="258" uniqueCount="214">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</sst>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6"/>
  <sheetViews>
    <sheetView tabSelected="1" topLeftCell="A177" workbookViewId="0">
      <pane xSplit="1" topLeftCell="B1" activePane="topRight" state="frozen"/>
      <selection/>
      <selection pane="topRight" activeCell="J199" sqref="J199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198</v>
      </c>
      <c r="D1" s="4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200</v>
      </c>
      <c r="J25" s="21" t="e">
        <f>D2*10000000/(400*C2*R3*7.25)</f>
        <v>#DIV/0!</v>
      </c>
      <c r="K25" s="21" t="s">
        <v>201</v>
      </c>
      <c r="L25" s="21">
        <f>MAX(E3:Q3)</f>
        <v>0</v>
      </c>
      <c r="M25" s="21" t="s">
        <v>202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203</v>
      </c>
      <c r="J26" s="23">
        <f>C2</f>
        <v>0</v>
      </c>
      <c r="K26" s="23" t="s">
        <v>204</v>
      </c>
      <c r="L26" s="23">
        <f>MIN(E3:Q3)</f>
        <v>0</v>
      </c>
      <c r="M26" s="23" t="s">
        <v>205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206</v>
      </c>
      <c r="J27" s="23" t="e">
        <f>R3</f>
        <v>#DIV/0!</v>
      </c>
      <c r="K27" s="23" t="s">
        <v>207</v>
      </c>
      <c r="L27" s="23">
        <f>L25-L26</f>
        <v>0</v>
      </c>
      <c r="M27" s="23" t="s">
        <v>208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209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198</v>
      </c>
      <c r="D1" s="1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210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200</v>
      </c>
      <c r="J24" s="21">
        <f>D2*10000000/(400*C2*T3*7.25)</f>
        <v>91.7735864880767</v>
      </c>
      <c r="K24" s="21" t="s">
        <v>201</v>
      </c>
      <c r="L24" s="21">
        <f>MAX(E3:S3)</f>
        <v>27.13</v>
      </c>
      <c r="M24" s="21" t="s">
        <v>202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203</v>
      </c>
      <c r="J25" s="23">
        <f>C2</f>
        <v>142.04</v>
      </c>
      <c r="K25" s="23" t="s">
        <v>204</v>
      </c>
      <c r="L25" s="23">
        <f>MIN(E3:S3)</f>
        <v>24.59</v>
      </c>
      <c r="M25" s="23" t="s">
        <v>211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206</v>
      </c>
      <c r="J26" s="23">
        <f>T3</f>
        <v>25.6593333333333</v>
      </c>
      <c r="K26" s="23" t="s">
        <v>207</v>
      </c>
      <c r="L26" s="23">
        <f>L24-L25</f>
        <v>2.54</v>
      </c>
      <c r="M26" s="23" t="s">
        <v>208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209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198</v>
      </c>
      <c r="D1" s="4" t="s">
        <v>199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212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200</v>
      </c>
      <c r="L21" s="21">
        <f>D2*10000000/(400*C2*W3*7.25)</f>
        <v>92.1735127126396</v>
      </c>
      <c r="M21" s="21" t="s">
        <v>201</v>
      </c>
      <c r="N21" s="21">
        <f>MAX(E3:V3)</f>
        <v>25.765</v>
      </c>
      <c r="O21" s="21" t="s">
        <v>202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203</v>
      </c>
      <c r="L22" s="23">
        <f>C2</f>
        <v>170.33</v>
      </c>
      <c r="M22" s="23" t="s">
        <v>204</v>
      </c>
      <c r="N22" s="23">
        <f>MIN(E3:V3)</f>
        <v>22.91</v>
      </c>
      <c r="O22" s="23" t="s">
        <v>205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206</v>
      </c>
      <c r="L23" s="23">
        <f>W3</f>
        <v>25.0825</v>
      </c>
      <c r="M23" s="23" t="s">
        <v>207</v>
      </c>
      <c r="N23" s="23">
        <f>N21-N22</f>
        <v>2.855</v>
      </c>
      <c r="O23" s="23" t="s">
        <v>208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209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198</v>
      </c>
      <c r="D1" s="4" t="s">
        <v>199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213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200</v>
      </c>
      <c r="M25" s="21">
        <f>D2*10000000/(400*C2*AA3*7.25)</f>
        <v>87.6529755684048</v>
      </c>
      <c r="N25" s="21" t="s">
        <v>201</v>
      </c>
      <c r="O25" s="21">
        <f>MAX(E3:Z3)</f>
        <v>27.25</v>
      </c>
      <c r="P25" s="21" t="s">
        <v>202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203</v>
      </c>
      <c r="M26" s="23">
        <f>C2</f>
        <v>170.25</v>
      </c>
      <c r="N26" s="23" t="s">
        <v>204</v>
      </c>
      <c r="O26" s="23">
        <f>MIN(E3:Z3)</f>
        <v>24.26</v>
      </c>
      <c r="P26" s="23" t="s">
        <v>205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206</v>
      </c>
      <c r="M27" s="23">
        <f>AA3</f>
        <v>25.0713636363636</v>
      </c>
      <c r="N27" s="23" t="s">
        <v>207</v>
      </c>
      <c r="O27" s="23">
        <f>O25-O26</f>
        <v>2.99</v>
      </c>
      <c r="P27" s="23" t="s">
        <v>208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209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2026-01-13T21:15:37Z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