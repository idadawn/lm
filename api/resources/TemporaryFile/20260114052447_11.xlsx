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<sst xmlns="http://schemas.openxmlformats.org/spreadsheetml/2006/main" count="275" uniqueCount="231">
  <si>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</si>
  <si>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</si>
  <si>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</si>
  <si>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</si>
  <si>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</si>
  <si>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</si>
  <si>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</si>
  <si>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</si>
  <si>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</si>
  <si>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</si>
  <si>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</si>
  <si>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</si>
  <si>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</si>
  <si>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</si>
  <si>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</si>
  <si>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</si>
  <si>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</si>
  <si>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</si>
  <si>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</si>
  <si>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</si>
  <si>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</si>
  <si>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</si>
  <si>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</si>
  <si>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</si>
  <si>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</si>
  <si>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</si>
  <si>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</si>
  <si>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</si>
  <si>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</si>
  <si>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</si>
  <si>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</si>
  <si>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</si>
  <si>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</si>
  <si>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</si>
  <si>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</si>
  <si>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</si>
  <si>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</si>
  <si>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</si>
  <si>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</si>
  <si>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</si>
  <si>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</si>
  <si>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</si>
  <si>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</si>
  <si>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</si>
  <si>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</si>
  <si>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</si>
  <si>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</si>
  <si>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</si>
  <si>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</si>
  <si>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</si>
  <si>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</si>
  <si>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</si>
  <si>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</si>
  <si>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</si>
  <si>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</si>
  <si>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</si>
  <si>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</si>
  <si>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</si>
  <si>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</si>
  <si>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</si>
  <si>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</si>
  <si>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</si>
  <si>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</si>
  <si>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</si>
  <si>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</si>
  <si>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</si>
  <si>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</si>
  <si>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</si>
  <si>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</si>
  <si>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</si>
  <si>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</si>
  <si>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</si>
  <si>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</si>
  <si>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</si>
  <si>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</si>
  <si>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</si>
  <si>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</si>
  <si>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</si>
  <si>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</si>
  <si>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</si>
  <si>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</si>
  <si>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</si>
  <si>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</si>
  <si>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</si>
  <si>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</si>
  <si>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</si>
  <si>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</si>
  <si>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</si>
  <si>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</si>
  <si>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</si>
  <si>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</si>
  <si>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</si>
  <si>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</si>
  <si>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</si>
  <si>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</si>
  <si>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</si>
  <si>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</si>
  <si>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</si>
  <si>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</si>
  <si>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</si>
  <si>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</si>
  <si>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</si>
  <si>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</si>
  <si>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</si>
  <si>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</si>
  <si>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</si>
  <si>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</si>
  <si>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</si>
  <si>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</si>
  <si>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</si>
  <si>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</si>
  <si>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</si>
  <si>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</si>
  <si>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</si>
  <si>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</si>
  <si>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</si>
  <si>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</si>
  <si>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</si>
  <si>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</si>
  <si>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</si>
  <si>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</si>
  <si>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</si>
  <si>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</si>
  <si>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</si>
  <si>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</si>
  <si>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</si>
  <si>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</si>
  <si>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</si>
  <si>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</si>
  <si>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</si>
  <si>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</si>
  <si>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</si>
  <si>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</si>
  <si>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</si>
  <si>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</si>
  <si>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</si>
  <si>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</si>
  <si>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</si>
  <si>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</si>
  <si>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</si>
  <si>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</si>
  <si>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</si>
  <si>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</si>
  <si>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</si>
  <si>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</si>
  <si>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</si>
  <si>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</si>
  <si>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</si>
  <si>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</si>
  <si>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</si>
  <si>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</si>
  <si>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</si>
  <si>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</si>
  <si>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</si>
  <si>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</si>
  <si>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</si>
  <si>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</si>
  <si>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</si>
  <si>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</si>
  <si>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</si>
  <si>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</si>
  <si>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</si>
  <si>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</si>
  <si>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</si>
  <si>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</si>
  <si>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</si>
  <si>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</si>
  <si>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</si>
  <si>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</si>
  <si>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</si>
  <si>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</si>
  <si>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</si>
  <si>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</si>
  <si>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</si>
  <si>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</si>
  <si>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</si>
  <si>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</si>
  <si>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</si>
  <si>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</si>
  <si>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</si>
  <si>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</si>
  <si>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</si>
  <si>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</si>
  <si>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</si>
  <si>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</si>
  <si>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</si>
  <si>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</si>
  <si>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</si>
  <si>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</si>
  <si>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</si>
  <si>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</si>
  <si>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</si>
  <si>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</si>
  <si>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</si>
  <si>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</si>
  <si>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</si>
  <si>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</si>
  <si>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</si>
  <si>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</si>
  <si>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</si>
  <si>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</si>
  <si>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</si>
  <si>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</si>
  <si>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</si>
  <si>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</si>
  <si>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</si>
  <si>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</si>
  <si>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</si>
  <si>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</si>
  <si>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</si>
  <si>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</si>
  <si>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</si>
  <si>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</si>
  <si>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</si>
  <si>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1乙20251102-1-2-1微脆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</si>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</sst>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3"/>
  <sheetViews>
    <sheetView tabSelected="1" topLeftCell="A191" workbookViewId="0">
      <pane xSplit="1" topLeftCell="B1" activePane="topRight" state="frozen"/>
      <selection/>
      <selection pane="topRight" activeCell="A213" sqref="$A198:$XFD213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  <row r="199" s="61" customFormat="1" customHeight="1" spans="1:35">
      <c r="A199" s="65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I199" s="61">
        <v>90.68</v>
      </c>
    </row>
    <row r="200" s="61" customFormat="1" customHeight="1" spans="1:35">
      <c r="A200" s="65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I200" s="61">
        <v>90.22</v>
      </c>
    </row>
    <row r="201" s="61" customFormat="1" customHeight="1" spans="1:35">
      <c r="A201" s="65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I201" s="61">
        <v>90.37</v>
      </c>
    </row>
    <row r="202" s="61" customFormat="1" customHeight="1" spans="1:35">
      <c r="A202" s="65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I202" s="61">
        <v>90.48</v>
      </c>
    </row>
    <row r="203" s="61" customFormat="1" customHeight="1" spans="1:35">
      <c r="A203" s="65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I203" s="61">
        <v>90.61</v>
      </c>
    </row>
    <row r="204" s="61" customFormat="1" customHeight="1" spans="1:35">
      <c r="A204" s="65">
        <v>45963</v>
      </c>
      <c r="B204" s="68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I204" s="61">
        <v>89.92</v>
      </c>
    </row>
    <row r="205" s="61" customFormat="1" customHeight="1" spans="1:35">
      <c r="A205" s="65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I205" s="61">
        <v>89.95</v>
      </c>
    </row>
    <row r="206" s="61" customFormat="1" customHeight="1" spans="1:35">
      <c r="A206" s="65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I206" s="61">
        <v>90.89</v>
      </c>
    </row>
    <row r="207" s="61" customFormat="1" customHeight="1" spans="1:35">
      <c r="A207" s="65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I207" s="61">
        <v>91.44</v>
      </c>
    </row>
    <row r="208" s="61" customFormat="1" customHeight="1" spans="1:35">
      <c r="A208" s="65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I208" s="61">
        <v>90.68</v>
      </c>
    </row>
    <row r="209" s="61" customFormat="1" customHeight="1" spans="1:35">
      <c r="A209" s="65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I209" s="61">
        <v>89.62</v>
      </c>
    </row>
    <row r="210" s="61" customFormat="1" customHeight="1" spans="1:35">
      <c r="A210" s="65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I210" s="61">
        <v>90.43</v>
      </c>
    </row>
    <row r="211" s="61" customFormat="1" customHeight="1" spans="1:35">
      <c r="A211" s="65">
        <v>45963</v>
      </c>
      <c r="B211" s="68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I211" s="61">
        <v>90.51</v>
      </c>
    </row>
    <row r="212" s="61" customFormat="1" customHeight="1" spans="1:35">
      <c r="A212" s="65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I212" s="61">
        <v>89.61</v>
      </c>
    </row>
    <row r="213" s="61" customFormat="1" customHeight="1" spans="1:35">
      <c r="A213" s="65">
        <v>45963</v>
      </c>
      <c r="B213" s="61" t="s">
        <v>214</v>
      </c>
      <c r="C213" s="61">
        <v>142.03</v>
      </c>
      <c r="D213" s="61">
        <v>100.4</v>
      </c>
      <c r="E213" s="61">
        <v>592.5</v>
      </c>
      <c r="F213" s="61">
        <v>551.6</v>
      </c>
      <c r="G213" s="61">
        <v>558.7</v>
      </c>
      <c r="H213" s="61">
        <v>560.9</v>
      </c>
      <c r="I213" s="61">
        <v>549.1</v>
      </c>
      <c r="J213" s="61">
        <v>548.1</v>
      </c>
      <c r="K213" s="61">
        <v>527.6</v>
      </c>
      <c r="L213" s="61">
        <v>526.6</v>
      </c>
      <c r="M213" s="61">
        <v>533.4</v>
      </c>
      <c r="N213" s="61">
        <v>543.9</v>
      </c>
      <c r="O213" s="61">
        <v>540.4</v>
      </c>
      <c r="P213" s="61">
        <v>543.6</v>
      </c>
      <c r="Q213" s="61">
        <v>574.3</v>
      </c>
      <c r="R213" s="61">
        <v>564.4</v>
      </c>
      <c r="S213" s="61">
        <v>586.8</v>
      </c>
      <c r="AI213" s="61">
        <v>88.08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215</v>
      </c>
      <c r="D1" s="4" t="s">
        <v>216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217</v>
      </c>
      <c r="J25" s="21" t="e">
        <f>D2*10000000/(400*C2*R3*7.25)</f>
        <v>#DIV/0!</v>
      </c>
      <c r="K25" s="21" t="s">
        <v>218</v>
      </c>
      <c r="L25" s="21">
        <f>MAX(E3:Q3)</f>
        <v>0</v>
      </c>
      <c r="M25" s="21" t="s">
        <v>219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220</v>
      </c>
      <c r="J26" s="23">
        <f>C2</f>
        <v>0</v>
      </c>
      <c r="K26" s="23" t="s">
        <v>221</v>
      </c>
      <c r="L26" s="23">
        <f>MIN(E3:Q3)</f>
        <v>0</v>
      </c>
      <c r="M26" s="23" t="s">
        <v>222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223</v>
      </c>
      <c r="J27" s="23" t="e">
        <f>R3</f>
        <v>#DIV/0!</v>
      </c>
      <c r="K27" s="23" t="s">
        <v>224</v>
      </c>
      <c r="L27" s="23">
        <f>L25-L26</f>
        <v>0</v>
      </c>
      <c r="M27" s="23" t="s">
        <v>225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226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215</v>
      </c>
      <c r="D1" s="1" t="s">
        <v>216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227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217</v>
      </c>
      <c r="J24" s="21">
        <f>D2*10000000/(400*C2*T3*7.25)</f>
        <v>91.7735864880767</v>
      </c>
      <c r="K24" s="21" t="s">
        <v>218</v>
      </c>
      <c r="L24" s="21">
        <f>MAX(E3:S3)</f>
        <v>27.13</v>
      </c>
      <c r="M24" s="21" t="s">
        <v>219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220</v>
      </c>
      <c r="J25" s="23">
        <f>C2</f>
        <v>142.04</v>
      </c>
      <c r="K25" s="23" t="s">
        <v>221</v>
      </c>
      <c r="L25" s="23">
        <f>MIN(E3:S3)</f>
        <v>24.59</v>
      </c>
      <c r="M25" s="23" t="s">
        <v>228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223</v>
      </c>
      <c r="J26" s="23">
        <f>T3</f>
        <v>25.6593333333333</v>
      </c>
      <c r="K26" s="23" t="s">
        <v>224</v>
      </c>
      <c r="L26" s="23">
        <f>L24-L25</f>
        <v>2.54</v>
      </c>
      <c r="M26" s="23" t="s">
        <v>225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226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215</v>
      </c>
      <c r="D1" s="4" t="s">
        <v>216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229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217</v>
      </c>
      <c r="L21" s="21">
        <f>D2*10000000/(400*C2*W3*7.25)</f>
        <v>92.1735127126396</v>
      </c>
      <c r="M21" s="21" t="s">
        <v>218</v>
      </c>
      <c r="N21" s="21">
        <f>MAX(E3:V3)</f>
        <v>25.765</v>
      </c>
      <c r="O21" s="21" t="s">
        <v>219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220</v>
      </c>
      <c r="L22" s="23">
        <f>C2</f>
        <v>170.33</v>
      </c>
      <c r="M22" s="23" t="s">
        <v>221</v>
      </c>
      <c r="N22" s="23">
        <f>MIN(E3:V3)</f>
        <v>22.91</v>
      </c>
      <c r="O22" s="23" t="s">
        <v>222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223</v>
      </c>
      <c r="L23" s="23">
        <f>W3</f>
        <v>25.0825</v>
      </c>
      <c r="M23" s="23" t="s">
        <v>224</v>
      </c>
      <c r="N23" s="23">
        <f>N21-N22</f>
        <v>2.855</v>
      </c>
      <c r="O23" s="23" t="s">
        <v>225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226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215</v>
      </c>
      <c r="D1" s="4" t="s">
        <v>216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230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217</v>
      </c>
      <c r="M25" s="21">
        <f>D2*10000000/(400*C2*AA3*7.25)</f>
        <v>87.6529755684048</v>
      </c>
      <c r="N25" s="21" t="s">
        <v>218</v>
      </c>
      <c r="O25" s="21">
        <f>MAX(E3:Z3)</f>
        <v>27.25</v>
      </c>
      <c r="P25" s="21" t="s">
        <v>219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220</v>
      </c>
      <c r="M26" s="23">
        <f>C2</f>
        <v>170.25</v>
      </c>
      <c r="N26" s="23" t="s">
        <v>221</v>
      </c>
      <c r="O26" s="23">
        <f>MIN(E3:Z3)</f>
        <v>24.26</v>
      </c>
      <c r="P26" s="23" t="s">
        <v>222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223</v>
      </c>
      <c r="M27" s="23">
        <f>AA3</f>
        <v>25.0713636363636</v>
      </c>
      <c r="N27" s="23" t="s">
        <v>224</v>
      </c>
      <c r="O27" s="23">
        <f>O25-O26</f>
        <v>2.99</v>
      </c>
      <c r="P27" s="23" t="s">
        <v>225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226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