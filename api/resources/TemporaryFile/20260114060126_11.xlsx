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<sst xmlns="http://schemas.openxmlformats.org/spreadsheetml/2006/main" count="274" uniqueCount="230">
  <si>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</si>
  <si>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</si>
  <si>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</si>
  <si>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</si>
  <si>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</si>
  <si>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</si>
  <si>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</si>
  <si>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</si>
  <si>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</si>
  <si>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</si>
  <si>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</si>
  <si>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</si>
  <si>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</si>
  <si>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</si>
  <si>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</si>
  <si>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</si>
  <si>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</si>
  <si>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</si>
  <si>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</si>
  <si>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</si>
  <si>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</si>
  <si>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</si>
  <si>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</si>
  <si>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</si>
  <si>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</si>
  <si>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</si>
  <si>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</si>
  <si>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</si>
  <si>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</si>
  <si>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</si>
  <si>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</si>
  <si>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</si>
  <si>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</si>
  <si>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</si>
  <si>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</si>
  <si>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</si>
  <si>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</si>
  <si>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</si>
  <si>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</si>
  <si>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</si>
  <si>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</si>
  <si>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</si>
  <si>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</si>
  <si>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</si>
  <si>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</si>
  <si>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</si>
  <si>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</si>
  <si>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</si>
  <si>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</si>
  <si>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</si>
  <si>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</si>
  <si>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</si>
  <si>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</si>
  <si>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</si>
  <si>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</si>
  <si>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</si>
  <si>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</si>
  <si>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</si>
  <si>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</si>
  <si>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</si>
  <si>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</si>
  <si>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</si>
  <si>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</si>
  <si>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</si>
  <si>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</si>
  <si>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</si>
  <si>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</si>
  <si>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</si>
  <si>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</si>
  <si>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</si>
  <si>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</si>
  <si>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</si>
  <si>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</si>
  <si>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</si>
  <si>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</si>
  <si>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</si>
  <si>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</si>
  <si>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</si>
  <si>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</si>
  <si>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</si>
  <si>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</si>
  <si>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</si>
  <si>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</si>
  <si>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</si>
  <si>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</si>
  <si>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</si>
  <si>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</si>
  <si>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</si>
  <si>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</si>
  <si>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</si>
  <si>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</si>
  <si>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</si>
  <si>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</si>
  <si>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</si>
  <si>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</si>
  <si>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</si>
  <si>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</si>
  <si>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</si>
  <si>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</si>
  <si>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</si>
  <si>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</si>
  <si>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</si>
  <si>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</si>
  <si>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</si>
  <si>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</si>
  <si>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</si>
  <si>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</si>
  <si>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</si>
  <si>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</si>
  <si>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</si>
  <si>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</si>
  <si>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</si>
  <si>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</si>
  <si>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</si>
  <si>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</si>
  <si>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</si>
  <si>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</si>
  <si>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</si>
  <si>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</si>
  <si>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</si>
  <si>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</si>
  <si>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</si>
  <si>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</si>
  <si>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</si>
  <si>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</si>
  <si>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</si>
  <si>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</si>
  <si>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</si>
  <si>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</si>
  <si>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</si>
  <si>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</si>
  <si>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</si>
  <si>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</si>
  <si>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</si>
  <si>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</si>
  <si>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</si>
  <si>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</si>
  <si>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</si>
  <si>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</si>
  <si>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</si>
  <si>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</si>
  <si>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</si>
  <si>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</si>
  <si>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</si>
  <si>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</si>
  <si>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</si>
  <si>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</si>
  <si>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</si>
  <si>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</si>
  <si>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</si>
  <si>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</si>
  <si>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</si>
  <si>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</si>
  <si>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</si>
  <si>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</si>
  <si>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</si>
  <si>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</si>
  <si>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</si>
  <si>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</si>
  <si>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</si>
  <si>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</si>
  <si>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</si>
  <si>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</si>
  <si>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</si>
  <si>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</si>
  <si>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</si>
  <si>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</si>
  <si>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</si>
  <si>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</si>
  <si>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</si>
  <si>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</si>
  <si>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</si>
  <si>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</si>
  <si>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</si>
  <si>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</si>
  <si>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</si>
  <si>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</si>
  <si>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</si>
  <si>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</si>
  <si>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</si>
  <si>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</si>
  <si>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</si>
  <si>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</si>
  <si>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</si>
  <si>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</si>
  <si>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</si>
  <si>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</si>
  <si>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</si>
  <si>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</si>
  <si>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</si>
  <si>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</si>
  <si>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</si>
  <si>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</si>
  <si>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</si>
  <si>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</si>
  <si>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</si>
  <si>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</si>
  <si>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</si>
  <si>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</si>
  <si>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1甲20251101-3-26-1</t>
  </si>
  <si>
    <t>1甲20251101-3-28-1</t>
  </si>
  <si>
    <t>1甲20251101-3-27-1</t>
  </si>
  <si>
    <t>1乙20251102-1-1</t>
  </si>
  <si>
    <t>1甲20251101-3-29-1</t>
  </si>
  <si>
    <t>1乙20251102-1-2</t>
  </si>
  <si>
    <t>1甲20251101-3-32-1</t>
  </si>
  <si>
    <t>1乙20251102-1-3</t>
  </si>
  <si>
    <t>1乙20251102-1-4</t>
  </si>
  <si>
    <t>1甲20251101-3-31-1</t>
  </si>
  <si>
    <t>1甲20251101-3-34-1</t>
  </si>
  <si>
    <t>1乙20251102-1-5</t>
  </si>
  <si>
    <t>1乙20251102-1-6</t>
  </si>
  <si>
    <t>1甲20251101-3-33-1</t>
  </si>
  <si>
    <t>1乙20251102-1-7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</si>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</sst>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2"/>
  <sheetViews>
    <sheetView tabSelected="1" topLeftCell="A181" workbookViewId="0">
      <pane xSplit="1" topLeftCell="B1" activePane="topRight" state="frozen"/>
      <selection/>
      <selection pane="topRight" activeCell="A199" sqref="$A199:$XFD212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  <row r="198" s="61" customFormat="1" customHeight="1" spans="1:35">
      <c r="A198" s="65">
        <v>45963</v>
      </c>
      <c r="B198" s="61" t="s">
        <v>199</v>
      </c>
      <c r="C198" s="61">
        <v>142.1</v>
      </c>
      <c r="D198" s="61">
        <v>95.4</v>
      </c>
      <c r="E198" s="61">
        <v>542.6</v>
      </c>
      <c r="F198" s="61">
        <v>497.9</v>
      </c>
      <c r="G198" s="61">
        <v>493.2</v>
      </c>
      <c r="H198" s="61">
        <v>487.7</v>
      </c>
      <c r="I198" s="61">
        <v>498.8</v>
      </c>
      <c r="J198" s="61">
        <v>500</v>
      </c>
      <c r="K198" s="61">
        <v>490.7</v>
      </c>
      <c r="L198" s="61">
        <v>501.4</v>
      </c>
      <c r="M198" s="61">
        <v>496.1</v>
      </c>
      <c r="N198" s="61">
        <v>505.6</v>
      </c>
      <c r="O198" s="61">
        <v>514.8</v>
      </c>
      <c r="P198" s="61">
        <v>524.1</v>
      </c>
      <c r="Q198" s="61">
        <v>538.9</v>
      </c>
      <c r="R198" s="61">
        <v>550.3</v>
      </c>
      <c r="S198" s="61">
        <v>517.1</v>
      </c>
      <c r="AI198" s="61">
        <v>90.68</v>
      </c>
    </row>
    <row r="199" s="61" customFormat="1" customHeight="1" spans="1:35">
      <c r="A199" s="65">
        <v>45963</v>
      </c>
      <c r="B199" s="61" t="s">
        <v>200</v>
      </c>
      <c r="C199" s="61">
        <v>142.11</v>
      </c>
      <c r="D199" s="61">
        <v>96.6</v>
      </c>
      <c r="E199" s="61">
        <v>545.3</v>
      </c>
      <c r="F199" s="61">
        <v>512.3</v>
      </c>
      <c r="G199" s="61">
        <v>498.1</v>
      </c>
      <c r="H199" s="61">
        <v>501</v>
      </c>
      <c r="I199" s="61">
        <v>507.1</v>
      </c>
      <c r="J199" s="61">
        <v>516.5</v>
      </c>
      <c r="K199" s="61">
        <v>491.6</v>
      </c>
      <c r="L199" s="61">
        <v>500.9</v>
      </c>
      <c r="M199" s="61">
        <v>504.1</v>
      </c>
      <c r="N199" s="61">
        <v>506.6</v>
      </c>
      <c r="O199" s="61">
        <v>516.6</v>
      </c>
      <c r="P199" s="61">
        <v>530.2</v>
      </c>
      <c r="Q199" s="61">
        <v>546.8</v>
      </c>
      <c r="R199" s="61">
        <v>551.2</v>
      </c>
      <c r="S199" s="61">
        <v>526.6</v>
      </c>
      <c r="AI199" s="61">
        <v>90.68</v>
      </c>
    </row>
    <row r="200" s="61" customFormat="1" customHeight="1" spans="1:35">
      <c r="A200" s="65">
        <v>45963</v>
      </c>
      <c r="B200" s="61" t="s">
        <v>201</v>
      </c>
      <c r="C200" s="61">
        <v>142.07</v>
      </c>
      <c r="D200" s="61">
        <v>96.8</v>
      </c>
      <c r="E200" s="61">
        <v>548.7</v>
      </c>
      <c r="F200" s="61">
        <v>510</v>
      </c>
      <c r="G200" s="61">
        <v>501.9</v>
      </c>
      <c r="H200" s="61">
        <v>501.3</v>
      </c>
      <c r="I200" s="61">
        <v>509</v>
      </c>
      <c r="J200" s="61">
        <v>512.9</v>
      </c>
      <c r="K200" s="61">
        <v>500.6</v>
      </c>
      <c r="L200" s="61">
        <v>506</v>
      </c>
      <c r="M200" s="61">
        <v>505.8</v>
      </c>
      <c r="N200" s="61">
        <v>515.9</v>
      </c>
      <c r="O200" s="61">
        <v>519.9</v>
      </c>
      <c r="P200" s="61">
        <v>538.1</v>
      </c>
      <c r="Q200" s="61">
        <v>561</v>
      </c>
      <c r="R200" s="61">
        <v>552.9</v>
      </c>
      <c r="S200" s="61">
        <v>528.3</v>
      </c>
      <c r="AI200" s="61">
        <v>90.22</v>
      </c>
    </row>
    <row r="201" s="61" customFormat="1" customHeight="1" spans="1:35">
      <c r="A201" s="65">
        <v>45963</v>
      </c>
      <c r="B201" s="61" t="s">
        <v>202</v>
      </c>
      <c r="C201" s="61">
        <v>141.94</v>
      </c>
      <c r="D201" s="61">
        <v>103</v>
      </c>
      <c r="E201" s="61">
        <v>593.5</v>
      </c>
      <c r="F201" s="61">
        <v>559.7</v>
      </c>
      <c r="G201" s="61">
        <v>556.7</v>
      </c>
      <c r="H201" s="61">
        <v>554.8</v>
      </c>
      <c r="I201" s="61">
        <v>549</v>
      </c>
      <c r="J201" s="61">
        <v>553.8</v>
      </c>
      <c r="K201" s="61">
        <v>532</v>
      </c>
      <c r="L201" s="61">
        <v>530.2</v>
      </c>
      <c r="M201" s="61">
        <v>530.6</v>
      </c>
      <c r="N201" s="61">
        <v>540.4</v>
      </c>
      <c r="O201" s="61">
        <v>537.6</v>
      </c>
      <c r="P201" s="61">
        <v>539.5</v>
      </c>
      <c r="Q201" s="61">
        <v>568.8</v>
      </c>
      <c r="R201" s="61">
        <v>569.3</v>
      </c>
      <c r="S201" s="61">
        <v>591</v>
      </c>
      <c r="AI201" s="61">
        <v>90.37</v>
      </c>
    </row>
    <row r="202" s="61" customFormat="1" customHeight="1" spans="1:35">
      <c r="A202" s="65">
        <v>45963</v>
      </c>
      <c r="B202" s="61" t="s">
        <v>203</v>
      </c>
      <c r="C202" s="61">
        <v>142.13</v>
      </c>
      <c r="D202" s="61">
        <v>99</v>
      </c>
      <c r="E202" s="61">
        <v>563.2</v>
      </c>
      <c r="F202" s="61">
        <v>528.3</v>
      </c>
      <c r="G202" s="61">
        <v>509.4</v>
      </c>
      <c r="H202" s="61">
        <v>514.7</v>
      </c>
      <c r="I202" s="61">
        <v>514</v>
      </c>
      <c r="J202" s="61">
        <v>529.4</v>
      </c>
      <c r="K202" s="61">
        <v>501.5</v>
      </c>
      <c r="L202" s="61">
        <v>512.7</v>
      </c>
      <c r="M202" s="61">
        <v>510.6</v>
      </c>
      <c r="N202" s="61">
        <v>515.2</v>
      </c>
      <c r="O202" s="61">
        <v>524.5</v>
      </c>
      <c r="P202" s="61">
        <v>537.8</v>
      </c>
      <c r="Q202" s="61">
        <v>568.7</v>
      </c>
      <c r="R202" s="61">
        <v>573.5</v>
      </c>
      <c r="S202" s="61">
        <v>560.4</v>
      </c>
      <c r="AI202" s="61">
        <v>90.48</v>
      </c>
    </row>
    <row r="203" s="61" customFormat="1" customHeight="1" spans="1:35">
      <c r="A203" s="65">
        <v>45963</v>
      </c>
      <c r="B203" s="61" t="s">
        <v>204</v>
      </c>
      <c r="C203" s="61">
        <v>141.95</v>
      </c>
      <c r="D203" s="61">
        <v>99</v>
      </c>
      <c r="E203" s="61">
        <v>584.9</v>
      </c>
      <c r="F203" s="61">
        <v>534</v>
      </c>
      <c r="G203" s="61">
        <v>528.1</v>
      </c>
      <c r="H203" s="61">
        <v>523.6</v>
      </c>
      <c r="I203" s="61">
        <v>524.2</v>
      </c>
      <c r="J203" s="61">
        <v>518.3</v>
      </c>
      <c r="K203" s="61">
        <v>512.6</v>
      </c>
      <c r="L203" s="61">
        <v>508.3</v>
      </c>
      <c r="M203" s="61">
        <v>505.9</v>
      </c>
      <c r="N203" s="61">
        <v>516.8</v>
      </c>
      <c r="O203" s="61">
        <v>521.8</v>
      </c>
      <c r="P203" s="61">
        <v>518.9</v>
      </c>
      <c r="Q203" s="61">
        <v>538.3</v>
      </c>
      <c r="R203" s="61">
        <v>549</v>
      </c>
      <c r="S203" s="61">
        <v>577.8</v>
      </c>
      <c r="AI203" s="61">
        <v>90.61</v>
      </c>
    </row>
    <row r="204" s="61" customFormat="1" customHeight="1" spans="1:35">
      <c r="A204" s="65">
        <v>45963</v>
      </c>
      <c r="B204" s="68" t="s">
        <v>205</v>
      </c>
      <c r="C204" s="61">
        <v>142.12</v>
      </c>
      <c r="D204" s="61">
        <v>95.7</v>
      </c>
      <c r="E204" s="61">
        <v>538.8</v>
      </c>
      <c r="F204" s="61">
        <v>520.2</v>
      </c>
      <c r="G204" s="61">
        <v>507.8</v>
      </c>
      <c r="H204" s="61">
        <v>504.3</v>
      </c>
      <c r="I204" s="61">
        <v>511.1</v>
      </c>
      <c r="J204" s="61">
        <v>515.4</v>
      </c>
      <c r="K204" s="61">
        <v>498.8</v>
      </c>
      <c r="L204" s="61">
        <v>507.4</v>
      </c>
      <c r="M204" s="61">
        <v>507.2</v>
      </c>
      <c r="N204" s="61">
        <v>512</v>
      </c>
      <c r="O204" s="61">
        <v>503.9</v>
      </c>
      <c r="P204" s="61">
        <v>514.5</v>
      </c>
      <c r="Q204" s="61">
        <v>529.3</v>
      </c>
      <c r="R204" s="61">
        <v>538.2</v>
      </c>
      <c r="S204" s="61">
        <v>537.9</v>
      </c>
      <c r="AI204" s="61">
        <v>89.92</v>
      </c>
    </row>
    <row r="205" s="61" customFormat="1" customHeight="1" spans="1:35">
      <c r="A205" s="65">
        <v>45963</v>
      </c>
      <c r="B205" s="61" t="s">
        <v>206</v>
      </c>
      <c r="C205" s="61">
        <v>142.12</v>
      </c>
      <c r="D205" s="61">
        <v>97.6</v>
      </c>
      <c r="E205" s="61">
        <v>562.3</v>
      </c>
      <c r="F205" s="61">
        <v>533</v>
      </c>
      <c r="G205" s="61">
        <v>524.2</v>
      </c>
      <c r="H205" s="61">
        <v>518.6</v>
      </c>
      <c r="I205" s="61">
        <v>519.9</v>
      </c>
      <c r="J205" s="61">
        <v>515.6</v>
      </c>
      <c r="K205" s="61">
        <v>514.9</v>
      </c>
      <c r="L205" s="61">
        <v>505.4</v>
      </c>
      <c r="M205" s="61">
        <v>502.3</v>
      </c>
      <c r="N205" s="61">
        <v>509</v>
      </c>
      <c r="O205" s="61">
        <v>515.8</v>
      </c>
      <c r="P205" s="61">
        <v>522.5</v>
      </c>
      <c r="Q205" s="61">
        <v>531.2</v>
      </c>
      <c r="R205" s="61">
        <v>541.8</v>
      </c>
      <c r="S205" s="61">
        <v>581.9</v>
      </c>
      <c r="AI205" s="61">
        <v>89.95</v>
      </c>
    </row>
    <row r="206" s="61" customFormat="1" customHeight="1" spans="1:35">
      <c r="A206" s="65">
        <v>45963</v>
      </c>
      <c r="B206" s="61" t="s">
        <v>207</v>
      </c>
      <c r="C206" s="61">
        <v>142.07</v>
      </c>
      <c r="D206" s="61">
        <v>99</v>
      </c>
      <c r="E206" s="61">
        <v>556.5</v>
      </c>
      <c r="F206" s="61">
        <v>533.2</v>
      </c>
      <c r="G206" s="61">
        <v>528.2</v>
      </c>
      <c r="H206" s="61">
        <v>525.4</v>
      </c>
      <c r="I206" s="61">
        <v>523.4</v>
      </c>
      <c r="J206" s="61">
        <v>515.1</v>
      </c>
      <c r="K206" s="61">
        <v>512.5</v>
      </c>
      <c r="L206" s="61">
        <v>504.5</v>
      </c>
      <c r="M206" s="61">
        <v>501.1</v>
      </c>
      <c r="N206" s="61">
        <v>511</v>
      </c>
      <c r="O206" s="61">
        <v>519.8</v>
      </c>
      <c r="P206" s="61">
        <v>525</v>
      </c>
      <c r="Q206" s="61">
        <v>535.8</v>
      </c>
      <c r="R206" s="61">
        <v>551.2</v>
      </c>
      <c r="S206" s="61">
        <v>588.3</v>
      </c>
      <c r="AI206" s="61">
        <v>90.89</v>
      </c>
    </row>
    <row r="207" s="61" customFormat="1" customHeight="1" spans="1:35">
      <c r="A207" s="65">
        <v>45963</v>
      </c>
      <c r="B207" s="61" t="s">
        <v>208</v>
      </c>
      <c r="C207" s="61">
        <v>142.07</v>
      </c>
      <c r="D207" s="61">
        <v>98.4</v>
      </c>
      <c r="E207" s="61">
        <v>547.5</v>
      </c>
      <c r="F207" s="61">
        <v>524.6</v>
      </c>
      <c r="G207" s="61">
        <v>507.9</v>
      </c>
      <c r="H207" s="61">
        <v>500.8</v>
      </c>
      <c r="I207" s="61">
        <v>511.1</v>
      </c>
      <c r="J207" s="61">
        <v>518.2</v>
      </c>
      <c r="K207" s="61">
        <v>502.3</v>
      </c>
      <c r="L207" s="61">
        <v>509.4</v>
      </c>
      <c r="M207" s="61">
        <v>512.3</v>
      </c>
      <c r="N207" s="61">
        <v>512.9</v>
      </c>
      <c r="O207" s="61">
        <v>518.1</v>
      </c>
      <c r="P207" s="61">
        <v>521.9</v>
      </c>
      <c r="Q207" s="61">
        <v>545</v>
      </c>
      <c r="R207" s="61">
        <v>555</v>
      </c>
      <c r="S207" s="61">
        <v>548.8</v>
      </c>
      <c r="AI207" s="61">
        <v>91.44</v>
      </c>
    </row>
    <row r="208" s="61" customFormat="1" customHeight="1" spans="1:35">
      <c r="A208" s="65">
        <v>45963</v>
      </c>
      <c r="B208" s="61" t="s">
        <v>209</v>
      </c>
      <c r="C208" s="61">
        <v>142.1</v>
      </c>
      <c r="D208" s="61">
        <v>95.4</v>
      </c>
      <c r="E208" s="61">
        <v>532.4</v>
      </c>
      <c r="F208" s="61">
        <v>510.9</v>
      </c>
      <c r="G208" s="61">
        <v>500.7</v>
      </c>
      <c r="H208" s="61">
        <v>494.2</v>
      </c>
      <c r="I208" s="61">
        <v>506.7</v>
      </c>
      <c r="J208" s="61">
        <v>506.5</v>
      </c>
      <c r="K208" s="61">
        <v>505.1</v>
      </c>
      <c r="L208" s="61">
        <v>509.6</v>
      </c>
      <c r="M208" s="61">
        <v>507.3</v>
      </c>
      <c r="N208" s="61">
        <v>507.5</v>
      </c>
      <c r="O208" s="61">
        <v>502.6</v>
      </c>
      <c r="P208" s="61">
        <v>499.7</v>
      </c>
      <c r="Q208" s="61">
        <v>516.9</v>
      </c>
      <c r="R208" s="61">
        <v>525.8</v>
      </c>
      <c r="S208" s="61">
        <v>533.1</v>
      </c>
      <c r="AI208" s="61">
        <v>90.68</v>
      </c>
    </row>
    <row r="209" s="61" customFormat="1" customHeight="1" spans="1:35">
      <c r="A209" s="65">
        <v>45963</v>
      </c>
      <c r="B209" s="61" t="s">
        <v>210</v>
      </c>
      <c r="C209" s="61">
        <v>142.03</v>
      </c>
      <c r="D209" s="61">
        <v>98.6</v>
      </c>
      <c r="E209" s="61">
        <v>562.2</v>
      </c>
      <c r="F209" s="61">
        <v>535.7</v>
      </c>
      <c r="G209" s="61">
        <v>527.5</v>
      </c>
      <c r="H209" s="61">
        <v>517.2</v>
      </c>
      <c r="I209" s="61">
        <v>539.3</v>
      </c>
      <c r="J209" s="61">
        <v>509.8</v>
      </c>
      <c r="K209" s="61">
        <v>511.5</v>
      </c>
      <c r="L209" s="61">
        <v>510.6</v>
      </c>
      <c r="M209" s="61">
        <v>511</v>
      </c>
      <c r="N209" s="61">
        <v>520.6</v>
      </c>
      <c r="O209" s="61">
        <v>528.3</v>
      </c>
      <c r="P209" s="61">
        <v>531.2</v>
      </c>
      <c r="Q209" s="61">
        <v>547.3</v>
      </c>
      <c r="R209" s="61">
        <v>559.5</v>
      </c>
      <c r="S209" s="61">
        <v>601.7</v>
      </c>
      <c r="AI209" s="61">
        <v>89.62</v>
      </c>
    </row>
    <row r="210" s="61" customFormat="1" customHeight="1" spans="1:35">
      <c r="A210" s="65">
        <v>45963</v>
      </c>
      <c r="B210" s="61" t="s">
        <v>211</v>
      </c>
      <c r="C210" s="61">
        <v>142.09</v>
      </c>
      <c r="D210" s="61">
        <v>98</v>
      </c>
      <c r="E210" s="61">
        <v>550.6</v>
      </c>
      <c r="F210" s="61">
        <v>524.5</v>
      </c>
      <c r="G210" s="61">
        <v>518.2</v>
      </c>
      <c r="H210" s="61">
        <v>509.1</v>
      </c>
      <c r="I210" s="61">
        <v>514</v>
      </c>
      <c r="J210" s="61">
        <v>506.3</v>
      </c>
      <c r="K210" s="61">
        <v>506.8</v>
      </c>
      <c r="L210" s="61">
        <v>505.7</v>
      </c>
      <c r="M210" s="61">
        <v>510.1</v>
      </c>
      <c r="N210" s="61">
        <v>544.7</v>
      </c>
      <c r="O210" s="61">
        <v>527.6</v>
      </c>
      <c r="P210" s="61">
        <v>519.8</v>
      </c>
      <c r="Q210" s="61">
        <v>529.3</v>
      </c>
      <c r="R210" s="61">
        <v>546.3</v>
      </c>
      <c r="S210" s="61">
        <v>577.2</v>
      </c>
      <c r="AI210" s="61">
        <v>90.43</v>
      </c>
    </row>
    <row r="211" s="61" customFormat="1" customHeight="1" spans="1:35">
      <c r="A211" s="65">
        <v>45963</v>
      </c>
      <c r="B211" s="68" t="s">
        <v>212</v>
      </c>
      <c r="C211" s="61">
        <v>142.13</v>
      </c>
      <c r="D211" s="61">
        <v>93.9</v>
      </c>
      <c r="E211" s="61">
        <v>523.9</v>
      </c>
      <c r="F211" s="61">
        <v>504.7</v>
      </c>
      <c r="G211" s="61">
        <v>495.4</v>
      </c>
      <c r="H211" s="61">
        <v>489.9</v>
      </c>
      <c r="I211" s="61">
        <v>496.3</v>
      </c>
      <c r="J211" s="61">
        <v>501.5</v>
      </c>
      <c r="K211" s="61">
        <v>494</v>
      </c>
      <c r="L211" s="61">
        <v>501.6</v>
      </c>
      <c r="M211" s="61">
        <v>500.7</v>
      </c>
      <c r="N211" s="61">
        <v>493.5</v>
      </c>
      <c r="O211" s="61">
        <v>497.9</v>
      </c>
      <c r="P211" s="61">
        <v>494.8</v>
      </c>
      <c r="Q211" s="61">
        <v>511</v>
      </c>
      <c r="R211" s="61">
        <v>522.6</v>
      </c>
      <c r="S211" s="61">
        <v>523.5</v>
      </c>
      <c r="AI211" s="61">
        <v>90.51</v>
      </c>
    </row>
    <row r="212" s="61" customFormat="1" customHeight="1" spans="1:35">
      <c r="A212" s="65">
        <v>45963</v>
      </c>
      <c r="B212" s="61" t="s">
        <v>213</v>
      </c>
      <c r="C212" s="61">
        <v>142.12</v>
      </c>
      <c r="D212" s="61">
        <v>95.6</v>
      </c>
      <c r="E212" s="61">
        <v>553.1</v>
      </c>
      <c r="F212" s="61">
        <v>523.2</v>
      </c>
      <c r="G212" s="61">
        <v>510.9</v>
      </c>
      <c r="H212" s="61">
        <v>505.2</v>
      </c>
      <c r="I212" s="61">
        <v>506.3</v>
      </c>
      <c r="J212" s="61">
        <v>502.9</v>
      </c>
      <c r="K212" s="61">
        <v>494.4</v>
      </c>
      <c r="L212" s="61">
        <v>499.2</v>
      </c>
      <c r="M212" s="61">
        <v>498.7</v>
      </c>
      <c r="N212" s="61">
        <v>511.1</v>
      </c>
      <c r="O212" s="61">
        <v>522</v>
      </c>
      <c r="P212" s="61">
        <v>508.1</v>
      </c>
      <c r="Q212" s="61">
        <v>522.2</v>
      </c>
      <c r="R212" s="61">
        <v>541.1</v>
      </c>
      <c r="S212" s="61">
        <v>567.5</v>
      </c>
      <c r="AI212" s="61">
        <v>89.61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214</v>
      </c>
      <c r="D1" s="4" t="s">
        <v>215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216</v>
      </c>
      <c r="J25" s="21" t="e">
        <f>D2*10000000/(400*C2*R3*7.25)</f>
        <v>#DIV/0!</v>
      </c>
      <c r="K25" s="21" t="s">
        <v>217</v>
      </c>
      <c r="L25" s="21">
        <f>MAX(E3:Q3)</f>
        <v>0</v>
      </c>
      <c r="M25" s="21" t="s">
        <v>218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219</v>
      </c>
      <c r="J26" s="23">
        <f>C2</f>
        <v>0</v>
      </c>
      <c r="K26" s="23" t="s">
        <v>220</v>
      </c>
      <c r="L26" s="23">
        <f>MIN(E3:Q3)</f>
        <v>0</v>
      </c>
      <c r="M26" s="23" t="s">
        <v>221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222</v>
      </c>
      <c r="J27" s="23" t="e">
        <f>R3</f>
        <v>#DIV/0!</v>
      </c>
      <c r="K27" s="23" t="s">
        <v>223</v>
      </c>
      <c r="L27" s="23">
        <f>L25-L26</f>
        <v>0</v>
      </c>
      <c r="M27" s="23" t="s">
        <v>224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225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214</v>
      </c>
      <c r="D1" s="1" t="s">
        <v>215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226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216</v>
      </c>
      <c r="J24" s="21">
        <f>D2*10000000/(400*C2*T3*7.25)</f>
        <v>91.7735864880767</v>
      </c>
      <c r="K24" s="21" t="s">
        <v>217</v>
      </c>
      <c r="L24" s="21">
        <f>MAX(E3:S3)</f>
        <v>27.13</v>
      </c>
      <c r="M24" s="21" t="s">
        <v>218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219</v>
      </c>
      <c r="J25" s="23">
        <f>C2</f>
        <v>142.04</v>
      </c>
      <c r="K25" s="23" t="s">
        <v>220</v>
      </c>
      <c r="L25" s="23">
        <f>MIN(E3:S3)</f>
        <v>24.59</v>
      </c>
      <c r="M25" s="23" t="s">
        <v>227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222</v>
      </c>
      <c r="J26" s="23">
        <f>T3</f>
        <v>25.6593333333333</v>
      </c>
      <c r="K26" s="23" t="s">
        <v>223</v>
      </c>
      <c r="L26" s="23">
        <f>L24-L25</f>
        <v>2.54</v>
      </c>
      <c r="M26" s="23" t="s">
        <v>224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225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214</v>
      </c>
      <c r="D1" s="4" t="s">
        <v>215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228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216</v>
      </c>
      <c r="L21" s="21">
        <f>D2*10000000/(400*C2*W3*7.25)</f>
        <v>92.1735127126396</v>
      </c>
      <c r="M21" s="21" t="s">
        <v>217</v>
      </c>
      <c r="N21" s="21">
        <f>MAX(E3:V3)</f>
        <v>25.765</v>
      </c>
      <c r="O21" s="21" t="s">
        <v>218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219</v>
      </c>
      <c r="L22" s="23">
        <f>C2</f>
        <v>170.33</v>
      </c>
      <c r="M22" s="23" t="s">
        <v>220</v>
      </c>
      <c r="N22" s="23">
        <f>MIN(E3:V3)</f>
        <v>22.91</v>
      </c>
      <c r="O22" s="23" t="s">
        <v>221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222</v>
      </c>
      <c r="L23" s="23">
        <f>W3</f>
        <v>25.0825</v>
      </c>
      <c r="M23" s="23" t="s">
        <v>223</v>
      </c>
      <c r="N23" s="23">
        <f>N21-N22</f>
        <v>2.855</v>
      </c>
      <c r="O23" s="23" t="s">
        <v>224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225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214</v>
      </c>
      <c r="D1" s="4" t="s">
        <v>215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229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216</v>
      </c>
      <c r="M25" s="21">
        <f>D2*10000000/(400*C2*AA3*7.25)</f>
        <v>87.6529755684048</v>
      </c>
      <c r="N25" s="21" t="s">
        <v>217</v>
      </c>
      <c r="O25" s="21">
        <f>MAX(E3:Z3)</f>
        <v>27.25</v>
      </c>
      <c r="P25" s="21" t="s">
        <v>218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219</v>
      </c>
      <c r="M26" s="23">
        <f>C2</f>
        <v>170.25</v>
      </c>
      <c r="N26" s="23" t="s">
        <v>220</v>
      </c>
      <c r="O26" s="23">
        <f>MIN(E3:Z3)</f>
        <v>24.26</v>
      </c>
      <c r="P26" s="23" t="s">
        <v>221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222</v>
      </c>
      <c r="M27" s="23">
        <f>AA3</f>
        <v>25.0713636363636</v>
      </c>
      <c r="N27" s="23" t="s">
        <v>223</v>
      </c>
      <c r="O27" s="23">
        <f>O25-O26</f>
        <v>2.99</v>
      </c>
      <c r="P27" s="23" t="s">
        <v>224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225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2026-01-13T22:01:11Z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