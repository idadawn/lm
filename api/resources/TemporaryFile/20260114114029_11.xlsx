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9868" windowHeight="15300"/>
  </bookViews>
  <sheets>
    <sheet name="数据导入" sheetId="1" r:id="rId1"/>
    <sheet name="120带材叠片系数" sheetId="8" r:id="rId2"/>
    <sheet name="142带材叠片系数" sheetId="5" r:id="rId3"/>
    <sheet name="170带材叠片系数" sheetId="3" r:id="rId4"/>
    <sheet name="213带材叠片系数" sheetId="6" r:id="rId5"/>
    <sheet name="Sheet1" sheetId="7" r:id="rId6"/>
  </sheets>
  <definedNames>
    <definedName name="_xlnm._FilterDatabase" localSheetId="0" hidden="1">数据导入!$A$1:$AI$196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<sst xmlns="http://schemas.openxmlformats.org/spreadsheetml/2006/main" count="279" uniqueCount="235">
  <si>
    <t>日期</t>
  </si>
  <si>
    <t>炉号</t>
  </si>
  <si>
    <t>宽度</t>
  </si>
  <si>
    <t>带材重量</t>
  </si>
  <si>
    <t>1乙20251101-1-1</t>
  </si>
  <si>
    <t>1乙20251101-1-2</t>
  </si>
  <si>
    <t>1乙20251101-1-3</t>
  </si>
  <si>
    <t>1乙20251101-1-4</t>
  </si>
  <si>
    <t>1乙20251101-1-5</t>
  </si>
  <si>
    <t>1乙20251101-1-6</t>
  </si>
  <si>
    <t>1乙20251101-1-7</t>
  </si>
  <si>
    <t>1乙20251101-1-8</t>
  </si>
  <si>
    <t>1乙20251101-1-9</t>
  </si>
  <si>
    <t>1乙20251101-1-1-1</t>
  </si>
  <si>
    <t>1乙20251101-1-4-1</t>
  </si>
  <si>
    <t>1乙20251101-1-10</t>
  </si>
  <si>
    <t>1乙20251101-1-5-1</t>
  </si>
  <si>
    <t>1乙20251101-1-2-1</t>
  </si>
  <si>
    <t>1乙20251101-1-11</t>
  </si>
  <si>
    <t>1乙20251101-1-3复测</t>
  </si>
  <si>
    <t>1乙20251101-1-12</t>
  </si>
  <si>
    <t>1乙20251101-1-13</t>
  </si>
  <si>
    <t>1乙20251101-1-7-1</t>
  </si>
  <si>
    <t>1乙20251101-1-14</t>
  </si>
  <si>
    <t>1乙20251101-1-8-1</t>
  </si>
  <si>
    <t>1乙20251101-1-15</t>
  </si>
  <si>
    <t>1乙20251101-1-9-1</t>
  </si>
  <si>
    <t>1乙20251101-1-16</t>
  </si>
  <si>
    <t>1乙20251101-1-15复测</t>
  </si>
  <si>
    <t>1乙20251101-1-6-1</t>
  </si>
  <si>
    <t>1乙20251101-1-17</t>
  </si>
  <si>
    <t>1乙20251101-1-18</t>
  </si>
  <si>
    <t>1乙20251101-1-15复测  ，，</t>
  </si>
  <si>
    <t>1乙20251101-1-19</t>
  </si>
  <si>
    <t>1乙20251101-1-10-1</t>
  </si>
  <si>
    <t>1乙20251101-1-20</t>
  </si>
  <si>
    <t>1乙20251101-1-10-2</t>
  </si>
  <si>
    <t>1乙20251101-1-21</t>
  </si>
  <si>
    <t>1乙20251101-1-11-1</t>
  </si>
  <si>
    <t>1乙20251101-1-22</t>
  </si>
  <si>
    <t>1乙20251101-1-11-2</t>
  </si>
  <si>
    <t>1乙20251101-1-23</t>
  </si>
  <si>
    <t>1乙20251101-1-24</t>
  </si>
  <si>
    <t>1乙20251101-1-13-1</t>
  </si>
  <si>
    <t>1乙20251101-1-25</t>
  </si>
  <si>
    <t>1乙20251101-1-26</t>
  </si>
  <si>
    <t>1乙20251101-1-14-1</t>
  </si>
  <si>
    <t>1乙20251101-1-12-1</t>
  </si>
  <si>
    <t>1乙20251101-1-27</t>
  </si>
  <si>
    <t>1乙20251101-1-28</t>
  </si>
  <si>
    <t>1乙20251101-1-17-1</t>
  </si>
  <si>
    <t>1乙20251101-1-19-1</t>
  </si>
  <si>
    <t>1乙20251101-1-29</t>
  </si>
  <si>
    <t>1乙20251101-1-30</t>
  </si>
  <si>
    <t>1乙20251101-1-23-1</t>
  </si>
  <si>
    <t>1乙20251101-1-20-1</t>
  </si>
  <si>
    <t>1乙20251101-1-31</t>
  </si>
  <si>
    <t>1乙20251101-1-32</t>
  </si>
  <si>
    <t>1乙20251101-1-21-1</t>
  </si>
  <si>
    <t>1乙20251101-1-33</t>
  </si>
  <si>
    <t>1乙20251101-1-22-1</t>
  </si>
  <si>
    <t>1乙20251101-1-24-1</t>
  </si>
  <si>
    <t>1乙20251101-1-25-1</t>
  </si>
  <si>
    <t>1乙20251101-1-18-1</t>
  </si>
  <si>
    <t>1乙20251101-1-26-1</t>
  </si>
  <si>
    <t>1乙20251101-1-32-1</t>
  </si>
  <si>
    <t>1乙20251101-1-28-1</t>
  </si>
  <si>
    <t>1乙20251101-1-29-1</t>
  </si>
  <si>
    <t>1乙20251101-1-33-1</t>
  </si>
  <si>
    <t>1乙20251101-1-31-1</t>
  </si>
  <si>
    <t>1乙20251101-1-27-1</t>
  </si>
  <si>
    <t>1丙20251101-2-1</t>
  </si>
  <si>
    <t>1乙20251101-1-30-1</t>
  </si>
  <si>
    <t>1丙20251101-2-2</t>
  </si>
  <si>
    <t>1丙20251101-2-3</t>
  </si>
  <si>
    <t>1丙20251101-2-4</t>
  </si>
  <si>
    <t>1丙20251101-2-5</t>
  </si>
  <si>
    <t>1丙20251101-2-6</t>
  </si>
  <si>
    <t>1丙20251101-2-7</t>
  </si>
  <si>
    <t>1丙20251101-2-8</t>
  </si>
  <si>
    <t>1丙20251101-2-1-1</t>
  </si>
  <si>
    <t>1丙20251101-2-9</t>
  </si>
  <si>
    <t>1丙20251101-2-3-1</t>
  </si>
  <si>
    <t>1丙20251101-2-10</t>
  </si>
  <si>
    <t>1丙20251101-2-2-1</t>
  </si>
  <si>
    <t>1丙20251101-2-11</t>
  </si>
  <si>
    <t>1丙20251101-2-12</t>
  </si>
  <si>
    <t>1丙20251101-2-4-1</t>
  </si>
  <si>
    <t>1丙20251101-2-7-1</t>
  </si>
  <si>
    <t>1丙20251101-2-13</t>
  </si>
  <si>
    <t>1丙20251101-2-6-1</t>
  </si>
  <si>
    <t>1丙20251101-2-14</t>
  </si>
  <si>
    <t>1丙20251101-2-5-1</t>
  </si>
  <si>
    <t>1丙20251101-2-8-1</t>
  </si>
  <si>
    <t>1丙20251101-2-15</t>
  </si>
  <si>
    <t>1丙20251101-2-12-1</t>
  </si>
  <si>
    <t>1丙20251101-2-16</t>
  </si>
  <si>
    <t>1丙20251101-2-10-1</t>
  </si>
  <si>
    <t>1丙20251101-2-17</t>
  </si>
  <si>
    <t>1丙20251101-2-14-1</t>
  </si>
  <si>
    <t>1丙20251101-2-18</t>
  </si>
  <si>
    <t>1丙20251101-2-9-1</t>
  </si>
  <si>
    <t>1丙20251101-2-19</t>
  </si>
  <si>
    <t>1丙20251101-2-20</t>
  </si>
  <si>
    <t>1丙20251101-2-21</t>
  </si>
  <si>
    <t>1丙20251101-2-14-2</t>
  </si>
  <si>
    <t>1丙20251101-2-22</t>
  </si>
  <si>
    <t>1丙20251101-2-11-1</t>
  </si>
  <si>
    <t>1丙20251101-2-23</t>
  </si>
  <si>
    <t>1丙20251101-2-16-1</t>
  </si>
  <si>
    <t>1丙20251101-2-24</t>
  </si>
  <si>
    <t>1丙20251101-2-15-1</t>
  </si>
  <si>
    <t>1丙20251101-2-25</t>
  </si>
  <si>
    <t>1丙20251101-2-17-1</t>
  </si>
  <si>
    <t>1丙20251101-2-26</t>
  </si>
  <si>
    <t>1丙20251101-2-27</t>
  </si>
  <si>
    <t>1丙20251101-2-16-2</t>
  </si>
  <si>
    <t>1丙20251101-2-28</t>
  </si>
  <si>
    <t>1丙20251101-2-29</t>
  </si>
  <si>
    <t>1丙20251101-2-30</t>
  </si>
  <si>
    <t>1丙20251101-2-15-2</t>
  </si>
  <si>
    <t>1丙20251101-2-17-2</t>
  </si>
  <si>
    <t>1丙20251101-2-19-1</t>
  </si>
  <si>
    <t>1丙20251101-2-18-1</t>
  </si>
  <si>
    <t>1丙20251101-2-19-2</t>
  </si>
  <si>
    <t>1丙20251101-2-20-1</t>
  </si>
  <si>
    <t>1丙20251101-2-22-1</t>
  </si>
  <si>
    <t>1丙20251101-2-23-1</t>
  </si>
  <si>
    <t>1甲20251101-3-1</t>
  </si>
  <si>
    <t>1丙20251101-2-24-1</t>
  </si>
  <si>
    <t>1甲20251101-3-2</t>
  </si>
  <si>
    <t>1甲20251101-3-3</t>
  </si>
  <si>
    <t>1甲20251101-3-4</t>
  </si>
  <si>
    <t>1丙20251101-2-30-1</t>
  </si>
  <si>
    <t>1甲20251101-3-5</t>
  </si>
  <si>
    <t>1丙20251101-2-29-1</t>
  </si>
  <si>
    <t>1甲20251101-3-6</t>
  </si>
  <si>
    <t>1甲20251101-3-7</t>
  </si>
  <si>
    <t>1丙20251101-2-31-1</t>
  </si>
  <si>
    <t>1丙20251101-2-28-1</t>
  </si>
  <si>
    <t>1丙20251101-2-25-1</t>
  </si>
  <si>
    <t>1丙20251101-2-26-1</t>
  </si>
  <si>
    <t>1丙20251101-2-27-1</t>
  </si>
  <si>
    <t>1丙20251101-2-24-2</t>
  </si>
  <si>
    <t>1丙20251101-3-8</t>
  </si>
  <si>
    <t>1丙20251101-3-4-1</t>
  </si>
  <si>
    <t>1丙20251101-3-5-1</t>
  </si>
  <si>
    <t>1甲20251101-3-9</t>
  </si>
  <si>
    <t>1丙20251101-3-2-1</t>
  </si>
  <si>
    <t>1甲20251101-3-10</t>
  </si>
  <si>
    <t>1甲20251101-3-9复测</t>
  </si>
  <si>
    <t>1甲20251101-3-11</t>
  </si>
  <si>
    <t>1甲20251101-3-7-1</t>
  </si>
  <si>
    <t>1甲20251101-3-6-1</t>
  </si>
  <si>
    <t>1甲20251101-3-12</t>
  </si>
  <si>
    <t>1甲20251101-3-5-1</t>
  </si>
  <si>
    <t>1甲20251101-3-13</t>
  </si>
  <si>
    <t>1甲20251101-3-8-1</t>
  </si>
  <si>
    <t>1甲20251101-3-1-1</t>
  </si>
  <si>
    <t>1甲20251101-3-14</t>
  </si>
  <si>
    <t>试验1-1（170）</t>
  </si>
  <si>
    <t>1甲20251101-3-15</t>
  </si>
  <si>
    <t>试验1-2（142）</t>
  </si>
  <si>
    <t>1甲20251101-3-16</t>
  </si>
  <si>
    <t>1甲20251101-3-17</t>
  </si>
  <si>
    <t>试验1-3（120）</t>
  </si>
  <si>
    <t>1甲20251101-3-18</t>
  </si>
  <si>
    <t>1甲20251101-3-8-2</t>
  </si>
  <si>
    <t>1甲20251101-3-19</t>
  </si>
  <si>
    <t>1甲20251101-3-13-1</t>
  </si>
  <si>
    <t>1甲20251101-3-20</t>
  </si>
  <si>
    <t>1甲20251101-3-14-1</t>
  </si>
  <si>
    <t>1甲20251101-3-12-1</t>
  </si>
  <si>
    <t>1甲20251101-3-21</t>
  </si>
  <si>
    <t>1甲20251101-3-22</t>
  </si>
  <si>
    <t>1甲20251101-3-15-1</t>
  </si>
  <si>
    <t>1甲20251101-3-23</t>
  </si>
  <si>
    <t>1甲20251101-3-24</t>
  </si>
  <si>
    <t>1甲20251101-3-25</t>
  </si>
  <si>
    <t>1甲20251101-3-16-1</t>
  </si>
  <si>
    <t>1甲20251101-3-26</t>
  </si>
  <si>
    <t>1甲20251101-3-20-1</t>
  </si>
  <si>
    <t>1甲20251101-3-27</t>
  </si>
  <si>
    <t>1甲20251101-3-17-1</t>
  </si>
  <si>
    <t>1甲20251101-3-28</t>
  </si>
  <si>
    <t>1甲20251101-3-23-1</t>
  </si>
  <si>
    <t>1甲20251101-3-29</t>
  </si>
  <si>
    <t>1甲20251101-3-25-1</t>
  </si>
  <si>
    <t>1甲20251101-3-30</t>
  </si>
  <si>
    <t>1甲20251101-3-22-1</t>
  </si>
  <si>
    <t>1甲20251101-3-31</t>
  </si>
  <si>
    <t>1甲20251101-3-32</t>
  </si>
  <si>
    <t>1甲20251101-3-33</t>
  </si>
  <si>
    <t>1甲20251101-3-34</t>
  </si>
  <si>
    <t>1甲20251101-3-19-1</t>
  </si>
  <si>
    <t>1甲20251101-3-18-1</t>
  </si>
  <si>
    <t>1甲20251101-3-21-1</t>
  </si>
  <si>
    <t>1甲20251101-3-24-1</t>
  </si>
  <si>
    <t>1甲20251101-3-30-1</t>
  </si>
  <si>
    <t>1甲20251101-3-26-1</t>
  </si>
  <si>
    <t>1甲20251101-3-28-1</t>
  </si>
  <si>
    <t>1甲20251101-3-27-1</t>
  </si>
  <si>
    <t>1乙20251102-1-1</t>
  </si>
  <si>
    <t>1甲20251101-3-29-1</t>
  </si>
  <si>
    <t>1乙20251102-1-2</t>
  </si>
  <si>
    <t>1甲20251101-3-32-1</t>
  </si>
  <si>
    <t>1乙20251102-1-3</t>
  </si>
  <si>
    <t>1乙20251102-1-4</t>
  </si>
  <si>
    <t>1甲20251101-3-31-1</t>
  </si>
  <si>
    <t>1甲20251101-3-34-1</t>
  </si>
  <si>
    <t>1乙20251102-1-5</t>
  </si>
  <si>
    <t>1乙20251102-1-6</t>
  </si>
  <si>
    <t>1甲20251101-3-33-1</t>
  </si>
  <si>
    <t>1乙20251102-1-7</t>
  </si>
  <si>
    <t>1乙20251102-1-2-1微脆</t>
  </si>
  <si>
    <t>1乙20251102-1-8</t>
  </si>
  <si>
    <t>1乙20251107-4-0</t>
  </si>
  <si>
    <t>1乙20251107-4-1</t>
  </si>
  <si>
    <t>1乙20251107-4-2</t>
  </si>
  <si>
    <t>带宽（mm)</t>
  </si>
  <si>
    <t>4米重量（g)</t>
  </si>
  <si>
    <t>叠片</t>
  </si>
  <si>
    <t>最大值</t>
  </si>
  <si>
    <t>4米重量</t>
  </si>
  <si>
    <t>带宽</t>
  </si>
  <si>
    <t>最小值</t>
  </si>
  <si>
    <t>外观判断</t>
  </si>
  <si>
    <t>平均带厚</t>
  </si>
  <si>
    <t>极差</t>
  </si>
  <si>
    <t>检验员</t>
  </si>
  <si>
    <t>表面质量</t>
  </si>
  <si>
    <t>1甲20251108-2-15</t>
  </si>
  <si>
    <t>物理判定</t>
  </si>
  <si>
    <t>1丙20251108-1-21-1微脆</t>
  </si>
  <si>
    <t>1乙20251015-5-14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</si>
</sst>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  <numFmt numFmtId="178" formatCode="0_ "/>
  </numFmts>
  <fonts count="26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theme="1"/>
      <name val="宋体"/>
      <charset val="134"/>
    </font>
    <font>
      <b/>
      <sz val="12"/>
      <name val="宋体"/>
      <charset val="134"/>
    </font>
    <font>
      <sz val="12"/>
      <color theme="9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8" tint="0.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-0.25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0" borderId="1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1" borderId="18" applyNumberFormat="0" applyAlignment="0" applyProtection="0">
      <alignment vertical="center"/>
    </xf>
    <xf numFmtId="0" fontId="16" fillId="12" borderId="19" applyNumberFormat="0" applyAlignment="0" applyProtection="0">
      <alignment vertical="center"/>
    </xf>
    <xf numFmtId="0" fontId="17" fillId="12" borderId="18" applyNumberFormat="0" applyAlignment="0" applyProtection="0">
      <alignment vertical="center"/>
    </xf>
    <xf numFmtId="0" fontId="18" fillId="13" borderId="20" applyNumberFormat="0" applyAlignment="0" applyProtection="0">
      <alignment vertical="center"/>
    </xf>
    <xf numFmtId="0" fontId="19" fillId="0" borderId="21" applyNumberFormat="0" applyFill="0" applyAlignment="0" applyProtection="0">
      <alignment vertical="center"/>
    </xf>
    <xf numFmtId="0" fontId="20" fillId="0" borderId="22" applyNumberFormat="0" applyFill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2" borderId="1" xfId="0" applyFont="1" applyFill="1" applyBorder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NumberFormat="1" applyFont="1" applyFill="1" applyAlignment="1">
      <alignment horizontal="center" vertical="center"/>
    </xf>
    <xf numFmtId="14" fontId="2" fillId="3" borderId="1" xfId="0" applyNumberFormat="1" applyFont="1" applyFill="1" applyBorder="1">
      <alignment vertical="center"/>
    </xf>
    <xf numFmtId="0" fontId="2" fillId="3" borderId="1" xfId="0" applyFont="1" applyFill="1" applyBorder="1">
      <alignment vertical="center"/>
    </xf>
    <xf numFmtId="176" fontId="2" fillId="3" borderId="1" xfId="0" applyNumberFormat="1" applyFont="1" applyFill="1" applyBorder="1" applyAlignment="1">
      <alignment horizontal="center" vertical="center"/>
    </xf>
    <xf numFmtId="177" fontId="2" fillId="3" borderId="1" xfId="0" applyNumberFormat="1" applyFont="1" applyFill="1" applyBorder="1" applyAlignment="1">
      <alignment horizontal="center" vertical="center"/>
    </xf>
    <xf numFmtId="177" fontId="2" fillId="3" borderId="1" xfId="0" applyNumberFormat="1" applyFont="1" applyFill="1" applyBorder="1" applyAlignment="1">
      <alignment horizontal="right" vertical="center"/>
    </xf>
    <xf numFmtId="177" fontId="3" fillId="3" borderId="1" xfId="0" applyNumberFormat="1" applyFont="1" applyFill="1" applyBorder="1" applyAlignment="1">
      <alignment horizontal="right" vertical="center"/>
    </xf>
    <xf numFmtId="177" fontId="2" fillId="4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right" vertical="center"/>
    </xf>
    <xf numFmtId="177" fontId="1" fillId="0" borderId="1" xfId="0" applyNumberFormat="1" applyFont="1" applyFill="1" applyBorder="1" applyAlignment="1">
      <alignment horizontal="right" vertical="center"/>
    </xf>
    <xf numFmtId="177" fontId="4" fillId="4" borderId="2" xfId="0" applyNumberFormat="1" applyFont="1" applyFill="1" applyBorder="1" applyAlignment="1">
      <alignment horizontal="right" vertical="center"/>
    </xf>
    <xf numFmtId="0" fontId="4" fillId="5" borderId="0" xfId="0" applyFont="1" applyFill="1" applyAlignment="1">
      <alignment vertical="center"/>
    </xf>
    <xf numFmtId="176" fontId="1" fillId="0" borderId="0" xfId="0" applyNumberFormat="1" applyFont="1" applyFill="1" applyAlignment="1">
      <alignment vertical="center"/>
    </xf>
    <xf numFmtId="176" fontId="1" fillId="0" borderId="3" xfId="0" applyNumberFormat="1" applyFont="1" applyFill="1" applyBorder="1" applyAlignment="1">
      <alignment horizontal="center" vertical="center"/>
    </xf>
    <xf numFmtId="176" fontId="1" fillId="0" borderId="4" xfId="0" applyNumberFormat="1" applyFont="1" applyFill="1" applyBorder="1" applyAlignment="1">
      <alignment horizontal="center" vertical="center"/>
    </xf>
    <xf numFmtId="176" fontId="1" fillId="0" borderId="5" xfId="0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0" fontId="1" fillId="0" borderId="6" xfId="0" applyNumberFormat="1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0" fontId="1" fillId="0" borderId="7" xfId="0" applyNumberFormat="1" applyFont="1" applyFill="1" applyBorder="1" applyAlignment="1">
      <alignment horizontal="center" vertical="center"/>
    </xf>
    <xf numFmtId="0" fontId="1" fillId="0" borderId="8" xfId="0" applyNumberFormat="1" applyFont="1" applyFill="1" applyBorder="1" applyAlignment="1">
      <alignment horizontal="center" vertical="center"/>
    </xf>
    <xf numFmtId="0" fontId="1" fillId="0" borderId="9" xfId="0" applyNumberFormat="1" applyFont="1" applyFill="1" applyBorder="1" applyAlignment="1">
      <alignment horizontal="center" vertical="center"/>
    </xf>
    <xf numFmtId="178" fontId="1" fillId="0" borderId="0" xfId="0" applyNumberFormat="1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14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/>
    </xf>
    <xf numFmtId="177" fontId="2" fillId="6" borderId="1" xfId="0" applyNumberFormat="1" applyFont="1" applyFill="1" applyBorder="1" applyAlignment="1">
      <alignment horizontal="right" vertical="center"/>
    </xf>
    <xf numFmtId="0" fontId="2" fillId="3" borderId="1" xfId="0" applyNumberFormat="1" applyFont="1" applyFill="1" applyBorder="1" applyAlignment="1">
      <alignment horizontal="right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>
      <alignment vertical="center"/>
    </xf>
    <xf numFmtId="0" fontId="1" fillId="0" borderId="0" xfId="0" applyFont="1" applyFill="1" applyAlignment="1">
      <alignment horizontal="right" vertical="center"/>
    </xf>
    <xf numFmtId="177" fontId="1" fillId="4" borderId="1" xfId="0" applyNumberFormat="1" applyFont="1" applyFill="1" applyBorder="1" applyAlignment="1">
      <alignment horizontal="right" vertical="center"/>
    </xf>
    <xf numFmtId="176" fontId="1" fillId="0" borderId="10" xfId="0" applyNumberFormat="1" applyFont="1" applyFill="1" applyBorder="1" applyAlignment="1">
      <alignment horizontal="center" vertical="center"/>
    </xf>
    <xf numFmtId="177" fontId="3" fillId="4" borderId="1" xfId="0" applyNumberFormat="1" applyFont="1" applyFill="1" applyBorder="1" applyAlignment="1">
      <alignment vertical="center"/>
    </xf>
    <xf numFmtId="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49" fontId="1" fillId="0" borderId="6" xfId="0" applyNumberFormat="1" applyFont="1" applyFill="1" applyBorder="1" applyAlignment="1">
      <alignment horizontal="center" vertical="center"/>
    </xf>
    <xf numFmtId="176" fontId="1" fillId="0" borderId="11" xfId="0" applyNumberFormat="1" applyFont="1" applyFill="1" applyBorder="1" applyAlignment="1">
      <alignment horizontal="center" vertical="center"/>
    </xf>
    <xf numFmtId="0" fontId="1" fillId="0" borderId="12" xfId="0" applyNumberFormat="1" applyFont="1" applyFill="1" applyBorder="1" applyAlignment="1">
      <alignment horizontal="center" vertical="center"/>
    </xf>
    <xf numFmtId="0" fontId="1" fillId="0" borderId="13" xfId="0" applyNumberFormat="1" applyFont="1" applyFill="1" applyBorder="1" applyAlignment="1">
      <alignment horizontal="center" vertical="center"/>
    </xf>
    <xf numFmtId="0" fontId="1" fillId="0" borderId="14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177" fontId="3" fillId="8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177" fontId="1" fillId="3" borderId="1" xfId="0" applyNumberFormat="1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177" fontId="1" fillId="0" borderId="1" xfId="0" applyNumberFormat="1" applyFont="1" applyFill="1" applyBorder="1" applyAlignment="1">
      <alignment horizontal="center" vertical="center"/>
    </xf>
    <xf numFmtId="177" fontId="1" fillId="8" borderId="1" xfId="0" applyNumberFormat="1" applyFont="1" applyFill="1" applyBorder="1" applyAlignment="1">
      <alignment horizontal="center" vertical="center"/>
    </xf>
    <xf numFmtId="176" fontId="1" fillId="3" borderId="0" xfId="0" applyNumberFormat="1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vertical="center"/>
    </xf>
    <xf numFmtId="0" fontId="5" fillId="9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3" fillId="7" borderId="1" xfId="0" applyFont="1" applyFill="1" applyBorder="1" applyAlignment="1">
      <alignment vertical="center"/>
    </xf>
    <xf numFmtId="0" fontId="5" fillId="9" borderId="1" xfId="0" applyNumberFormat="1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vertical="center"/>
    </xf>
    <xf numFmtId="14" fontId="6" fillId="0" borderId="1" xfId="0" applyNumberFormat="1" applyFont="1" applyBorder="1" applyAlignment="1">
      <alignment vertical="center"/>
    </xf>
    <xf numFmtId="14" fontId="3" fillId="7" borderId="1" xfId="0" applyNumberFormat="1" applyFont="1" applyFill="1" applyBorder="1" applyAlignment="1">
      <alignment vertical="center"/>
    </xf>
    <xf numFmtId="0" fontId="3" fillId="2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AF859A"/>
      <color rgb="006D89C7"/>
      <color rgb="00FFFF00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'120带材叠片系数'!$B$2</c:f>
          <c:strCache>
            <c:ptCount val="1"/>
          </c:strCache>
        </c:strRef>
      </c:tx>
      <c:layout>
        <c:manualLayout>
          <c:xMode val="edge"/>
          <c:yMode val="edge"/>
          <c:x val="0.26668606900897"/>
          <c:y val="0.020833333333333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8904001265222"/>
          <c:y val="0.195995288574794"/>
          <c:w val="0.872908429542938"/>
          <c:h val="0.57583038869258"/>
        </c:manualLayout>
      </c:layout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>
              <a:outerShdw blurRad="50800" dist="25400" dir="5400000" algn="t" rotWithShape="0">
                <a:schemeClr val="accent1">
                  <a:lumMod val="50000"/>
                  <a:alpha val="30000"/>
                </a:scheme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'120带材叠片系数'!$E$3:$Q$3</c:f>
              <c:numCache>
                <c:formatCode>0.0_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590908866"/>
        <c:axId val="917084147"/>
      </c:lineChart>
      <c:catAx>
        <c:axId val="59090886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17084147"/>
        <c:crosses val="autoZero"/>
        <c:auto val="1"/>
        <c:lblAlgn val="ctr"/>
        <c:lblOffset val="100"/>
        <c:noMultiLvlLbl val="0"/>
      </c:catAx>
      <c:valAx>
        <c:axId val="9170841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numFmt formatCode="0.0_ " sourceLinked="1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090886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b9a2da0-ef37-403c-81ca-6b2a3684ad4b}"/>
      </c:ext>
    </c:extLst>
  </c:chart>
  <c:spPr>
    <a:solidFill>
      <a:schemeClr val="lt1">
        <a:lumMod val="96000"/>
      </a:schemeClr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'142带材叠片系数'!$B$2</c:f>
          <c:strCache>
            <c:ptCount val="1"/>
            <c:pt idx="0">
              <c:v>1甲20251108-2-15</c:v>
            </c:pt>
          </c:strCache>
        </c:strRef>
      </c:tx>
      <c:layout>
        <c:manualLayout>
          <c:xMode val="edge"/>
          <c:yMode val="edge"/>
          <c:x val="0.280248842272514"/>
          <c:y val="0.0076491585925548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9368900455433"/>
          <c:y val="0.157797441012619"/>
          <c:w val="0.836944352979914"/>
          <c:h val="0.669893617021277"/>
        </c:manualLayout>
      </c:layout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0363313418375585"/>
                  <c:y val="-0.06351446718419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0.0653964153076053"/>
                  <c:y val="0.074105812637922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0665056242638075"/>
                  <c:y val="-0.0632390585922308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0.0390378849209096"/>
                  <c:y val="-0.05484706558421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0.0644959124723144"/>
                  <c:y val="0.060138070875217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-0.0313662028543606"/>
                  <c:y val="0.043361552756555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-0.0734116914972028"/>
                  <c:y val="-0.055750567829857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>
                <c:manualLayout>
                  <c:x val="-0.0458917756240771"/>
                  <c:y val="0.068139582903159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8"/>
              <c:layout>
                <c:manualLayout>
                  <c:x val="-0.0715820802727679"/>
                  <c:y val="-0.04116780123387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9"/>
              <c:layout>
                <c:manualLayout>
                  <c:x val="-0.0637233336738538"/>
                  <c:y val="0.08801335479014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0"/>
              <c:layout>
                <c:manualLayout>
                  <c:x val="-0.0570020906820902"/>
                  <c:y val="0.046834843513313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1"/>
              <c:layout>
                <c:manualLayout>
                  <c:x val="-0.0410997732426304"/>
                  <c:y val="-0.061945075366508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2"/>
              <c:layout>
                <c:manualLayout>
                  <c:x val="-0.0515607098644399"/>
                  <c:y val="0.082214929156604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3"/>
              <c:layout>
                <c:manualLayout>
                  <c:x val="-0.056044687641998"/>
                  <c:y val="-0.055750567829857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4"/>
              <c:layout>
                <c:manualLayout>
                  <c:x val="-0.000644654761630208"/>
                  <c:y val="0.089820359281437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val>
            <c:numRef>
              <c:f>'142带材叠片系数'!$E$3:$S$3</c:f>
              <c:numCache>
                <c:formatCode>0.0_ </c:formatCode>
                <c:ptCount val="15"/>
                <c:pt idx="0">
                  <c:v>25.815</c:v>
                </c:pt>
                <c:pt idx="1">
                  <c:v>25.355</c:v>
                </c:pt>
                <c:pt idx="2">
                  <c:v>25.74</c:v>
                </c:pt>
                <c:pt idx="3">
                  <c:v>25.735</c:v>
                </c:pt>
                <c:pt idx="4">
                  <c:v>26.71</c:v>
                </c:pt>
                <c:pt idx="5">
                  <c:v>25.79</c:v>
                </c:pt>
                <c:pt idx="6">
                  <c:v>25.485</c:v>
                </c:pt>
                <c:pt idx="7">
                  <c:v>26.145</c:v>
                </c:pt>
                <c:pt idx="8">
                  <c:v>25.605</c:v>
                </c:pt>
                <c:pt idx="9">
                  <c:v>25.815</c:v>
                </c:pt>
                <c:pt idx="10">
                  <c:v>25.17</c:v>
                </c:pt>
                <c:pt idx="11">
                  <c:v>24.925</c:v>
                </c:pt>
                <c:pt idx="12">
                  <c:v>24.59</c:v>
                </c:pt>
                <c:pt idx="13">
                  <c:v>24.88</c:v>
                </c:pt>
                <c:pt idx="14">
                  <c:v>27.13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72679981"/>
        <c:axId val="174994368"/>
      </c:lineChart>
      <c:catAx>
        <c:axId val="77267998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174994368"/>
        <c:crosses val="autoZero"/>
        <c:auto val="1"/>
        <c:lblAlgn val="ctr"/>
        <c:lblOffset val="100"/>
        <c:noMultiLvlLbl val="0"/>
      </c:catAx>
      <c:valAx>
        <c:axId val="174994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  <a:effectLst/>
          </c:spPr>
        </c:minorGridlines>
        <c:numFmt formatCode="0.0_ " sourceLinked="1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772679981"/>
        <c:crosses val="autoZero"/>
        <c:crossBetween val="between"/>
        <c:majorUnit val="1"/>
        <c:minorUnit val="0.5"/>
      </c:valAx>
    </c:plotArea>
    <c:plotVisOnly val="1"/>
    <c:dispBlanksAs val="gap"/>
    <c:showDLblsOverMax val="0"/>
    <c:extLst>
      <c:ext uri="{0b15fc19-7d7d-44ad-8c2d-2c3a37ce22c3}">
        <chartProps xmlns="https://web.wps.cn/et/2018/main" chartId="{f1f05379-5d5b-4436-8563-f6ad17de0a7f}"/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prstDash val="solid"/>
      <a:round/>
    </a:ln>
    <a:effectLst/>
  </c:spPr>
  <c:txPr>
    <a:bodyPr wrap="square"/>
    <a:lstStyle/>
    <a:p>
      <a:pPr>
        <a:defRPr lang="zh-CN" sz="1100" b="0"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'170带材叠片系数'!$B$2</c:f>
          <c:strCache>
            <c:ptCount val="1"/>
            <c:pt idx="0">
              <c:v>1丙20251108-1-21-1微脆</c:v>
            </c:pt>
          </c:strCache>
        </c:strRef>
      </c:tx>
      <c:layout>
        <c:manualLayout>
          <c:xMode val="edge"/>
          <c:yMode val="edge"/>
          <c:x val="0.28336148513449"/>
          <c:y val="0.0090225563909774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781854163495205"/>
          <c:y val="0.199521957301589"/>
          <c:w val="0.912081513828239"/>
          <c:h val="0.679200726612171"/>
        </c:manualLayout>
      </c:layout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0.00833071361207168"/>
                  <c:y val="0.17347252072459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.00833071361207168"/>
                  <c:y val="-0.0162726435369972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0.00565859792518076"/>
                  <c:y val="0.17347252072459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0.00833071361207168"/>
                  <c:y val="0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0.0165042439484439"/>
                  <c:y val="0.15167331900521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-0.00417893904068753"/>
                  <c:y val="0.036145592292895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>
                <c:manualLayout>
                  <c:x val="0.00833071361207168"/>
                  <c:y val="0.17347252072459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8"/>
              <c:layout>
                <c:manualLayout>
                  <c:x val="-0.017293720481805"/>
                  <c:y val="0.0270399979282875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9"/>
              <c:layout>
                <c:manualLayout>
                  <c:x val="0.0186161960905988"/>
                  <c:y val="0.041070885305749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0"/>
              <c:layout>
                <c:manualLayout>
                  <c:x val="-0.00565859792518076"/>
                  <c:y val="0.16241940435984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1"/>
              <c:layout>
                <c:manualLayout>
                  <c:x val="0.0116351225566243"/>
                  <c:y val="0.041070885305749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2"/>
              <c:layout>
                <c:manualLayout>
                  <c:x val="-0.00282929896259038"/>
                  <c:y val="0.200491249616211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4"/>
              <c:layout>
                <c:manualLayout>
                  <c:x val="-0.0110028292989626"/>
                  <c:y val="0.1897451642615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5"/>
              <c:layout>
                <c:manualLayout>
                  <c:x val="0.00833071361207168"/>
                  <c:y val="0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6"/>
              <c:layout>
                <c:manualLayout>
                  <c:x val="0.00417872430008783"/>
                  <c:y val="0.140058238080751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7"/>
              <c:layout>
                <c:manualLayout>
                  <c:x val="0"/>
                  <c:y val="0.0377591377287146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'170带材叠片系数'!$E$3:$V$3</c:f>
              <c:numCache>
                <c:formatCode>0.0_ </c:formatCode>
                <c:ptCount val="18"/>
                <c:pt idx="0">
                  <c:v>22.91</c:v>
                </c:pt>
                <c:pt idx="1">
                  <c:v>24.435</c:v>
                </c:pt>
                <c:pt idx="2">
                  <c:v>25.765</c:v>
                </c:pt>
                <c:pt idx="3">
                  <c:v>24.89</c:v>
                </c:pt>
                <c:pt idx="4">
                  <c:v>25.115</c:v>
                </c:pt>
                <c:pt idx="5">
                  <c:v>25.505</c:v>
                </c:pt>
                <c:pt idx="6">
                  <c:v>25.47</c:v>
                </c:pt>
                <c:pt idx="7">
                  <c:v>24.915</c:v>
                </c:pt>
                <c:pt idx="8">
                  <c:v>24.88</c:v>
                </c:pt>
                <c:pt idx="9">
                  <c:v>25.12</c:v>
                </c:pt>
                <c:pt idx="10">
                  <c:v>25.1</c:v>
                </c:pt>
                <c:pt idx="11">
                  <c:v>25.59</c:v>
                </c:pt>
                <c:pt idx="12">
                  <c:v>25.515</c:v>
                </c:pt>
                <c:pt idx="13">
                  <c:v>24.92</c:v>
                </c:pt>
                <c:pt idx="14">
                  <c:v>25.3</c:v>
                </c:pt>
                <c:pt idx="15">
                  <c:v>25.37</c:v>
                </c:pt>
                <c:pt idx="16">
                  <c:v>25.58</c:v>
                </c:pt>
                <c:pt idx="17">
                  <c:v>25.105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73907871"/>
        <c:axId val="465267775"/>
      </c:lineChart>
      <c:catAx>
        <c:axId val="739078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65267775"/>
        <c:crosses val="autoZero"/>
        <c:auto val="1"/>
        <c:lblAlgn val="ctr"/>
        <c:lblOffset val="100"/>
        <c:noMultiLvlLbl val="0"/>
      </c:catAx>
      <c:valAx>
        <c:axId val="465267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numFmt formatCode="0.0_ " sourceLinked="1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907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3f9a13b-7a7a-4782-a782-441de274f6c7}"/>
      </c:ext>
    </c:extLst>
  </c:chart>
  <c:spPr>
    <a:solidFill>
      <a:schemeClr val="bg1"/>
    </a:solidFill>
    <a:ln w="12700" cap="flat" cmpd="sng" algn="ctr">
      <a:solidFill>
        <a:schemeClr val="tx1"/>
      </a:solidFill>
      <a:prstDash val="solid"/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'213带材叠片系数'!$B$2</c:f>
          <c:strCache>
            <c:ptCount val="1"/>
            <c:pt idx="0">
              <c:v>1乙20251015-5-14</c:v>
            </c:pt>
          </c:strCache>
        </c:strRef>
      </c:tx>
      <c:layout>
        <c:manualLayout>
          <c:xMode val="edge"/>
          <c:yMode val="edge"/>
          <c:x val="0.293967046813152"/>
          <c:y val="0.00746640119462419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847889570925001"/>
          <c:y val="0.157374954047099"/>
          <c:w val="0.910592105263158"/>
          <c:h val="0.712793893129771"/>
        </c:manualLayout>
      </c:layout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0"/>
                  <c:y val="0.0301536677297767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"/>
                  <c:y val="0.13192229631777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"/>
                  <c:y val="0.026964337489127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.00181189260418382"/>
                  <c:y val="0.180052189040302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0.0100477680777467"/>
                  <c:y val="0.0150768338648884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0"/>
                  <c:y val="0.13192229631777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>
                <c:manualLayout>
                  <c:x val="0.0248723439301598"/>
                  <c:y val="0.123486176624534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8"/>
              <c:layout>
                <c:manualLayout>
                  <c:x val="-0.00510624279360896"/>
                  <c:y val="0.0452305015946651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9"/>
              <c:layout>
                <c:manualLayout>
                  <c:x val="-0.0120243781914017"/>
                  <c:y val="0.134821687445636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0"/>
              <c:layout>
                <c:manualLayout>
                  <c:x val="0.0154834458902981"/>
                  <c:y val="0.00898811249637576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1"/>
              <c:layout>
                <c:manualLayout>
                  <c:x val="-0.0084005929830341"/>
                  <c:y val="0.14091040881414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2"/>
              <c:layout>
                <c:manualLayout>
                  <c:x val="0.0120243781914017"/>
                  <c:y val="0.0420411713540157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3"/>
              <c:layout>
                <c:manualLayout>
                  <c:x val="-0.0256959314775161"/>
                  <c:y val="0.104957958828646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4"/>
              <c:layout>
                <c:manualLayout>
                  <c:x val="-0.0118596606819305"/>
                  <c:y val="0.13192229631777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5"/>
              <c:layout>
                <c:manualLayout>
                  <c:x val="0"/>
                  <c:y val="0.026964337489127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6"/>
              <c:layout>
                <c:manualLayout>
                  <c:x val="-0.0169659034755394"/>
                  <c:y val="0.126123514062047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7"/>
              <c:layout>
                <c:manualLayout>
                  <c:x val="0.0238840388733322"/>
                  <c:y val="0.122934183821398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8"/>
              <c:layout>
                <c:manualLayout>
                  <c:x val="-0.00675341788832153"/>
                  <c:y val="0.0391417802261525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9"/>
              <c:layout>
                <c:manualLayout>
                  <c:x val="0.0153187283808269"/>
                  <c:y val="0.13192229631777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0"/>
              <c:layout>
                <c:manualLayout>
                  <c:x val="-0.0204249711744358"/>
                  <c:y val="0.0420411713540157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1"/>
              <c:layout>
                <c:manualLayout>
                  <c:x val="0"/>
                  <c:y val="0.141200347926935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'213带材叠片系数'!$E$3:$Z$3</c:f>
              <c:numCache>
                <c:formatCode>0.0_ </c:formatCode>
                <c:ptCount val="22"/>
                <c:pt idx="0">
                  <c:v>24.805</c:v>
                </c:pt>
                <c:pt idx="1">
                  <c:v>24.58</c:v>
                </c:pt>
                <c:pt idx="2">
                  <c:v>24.375</c:v>
                </c:pt>
                <c:pt idx="3">
                  <c:v>24.26</c:v>
                </c:pt>
                <c:pt idx="4">
                  <c:v>25.055</c:v>
                </c:pt>
                <c:pt idx="5">
                  <c:v>24.425</c:v>
                </c:pt>
                <c:pt idx="6">
                  <c:v>24.505</c:v>
                </c:pt>
                <c:pt idx="7">
                  <c:v>24.59</c:v>
                </c:pt>
                <c:pt idx="8">
                  <c:v>24.7</c:v>
                </c:pt>
                <c:pt idx="9">
                  <c:v>24.63</c:v>
                </c:pt>
                <c:pt idx="10">
                  <c:v>26.18</c:v>
                </c:pt>
                <c:pt idx="11">
                  <c:v>24.52</c:v>
                </c:pt>
                <c:pt idx="12">
                  <c:v>24.94</c:v>
                </c:pt>
                <c:pt idx="13">
                  <c:v>24.585</c:v>
                </c:pt>
                <c:pt idx="14">
                  <c:v>24.525</c:v>
                </c:pt>
                <c:pt idx="15">
                  <c:v>24.64</c:v>
                </c:pt>
                <c:pt idx="16">
                  <c:v>24.455</c:v>
                </c:pt>
                <c:pt idx="17">
                  <c:v>25.58</c:v>
                </c:pt>
                <c:pt idx="18">
                  <c:v>25.4</c:v>
                </c:pt>
                <c:pt idx="19">
                  <c:v>26.365</c:v>
                </c:pt>
                <c:pt idx="20">
                  <c:v>27.205</c:v>
                </c:pt>
                <c:pt idx="21">
                  <c:v>27.25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199623047"/>
        <c:axId val="835972162"/>
      </c:lineChart>
      <c:catAx>
        <c:axId val="1996230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5972162"/>
        <c:crosses val="autoZero"/>
        <c:auto val="1"/>
        <c:lblAlgn val="ctr"/>
        <c:lblOffset val="100"/>
        <c:noMultiLvlLbl val="0"/>
      </c:catAx>
      <c:valAx>
        <c:axId val="83597216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numFmt formatCode="0.0_ " sourceLinked="1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9623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4a15a39-0ad6-487a-8e33-38a30f7bc626}"/>
      </c:ext>
    </c:extLst>
  </c:chart>
  <c:spPr>
    <a:solidFill>
      <a:schemeClr val="bg1"/>
    </a:solidFill>
    <a:ln w="9525" cap="flat" cmpd="sng" algn="ctr">
      <a:solidFill>
        <a:schemeClr val="tx1"/>
      </a:solidFill>
      <a:prstDash val="solid"/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21590</xdr:colOff>
      <xdr:row>8</xdr:row>
      <xdr:rowOff>118110</xdr:rowOff>
    </xdr:from>
    <xdr:to>
      <xdr:col>13</xdr:col>
      <xdr:colOff>655320</xdr:colOff>
      <xdr:row>23</xdr:row>
      <xdr:rowOff>165100</xdr:rowOff>
    </xdr:to>
    <xdr:graphicFrame>
      <xdr:nvGraphicFramePr>
        <xdr:cNvPr id="4" name="图表 3"/>
        <xdr:cNvGraphicFramePr/>
      </xdr:nvGraphicFramePr>
      <xdr:xfrm>
        <a:off x="6520180" y="2056130"/>
        <a:ext cx="3681730" cy="30187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57150</xdr:colOff>
      <xdr:row>10</xdr:row>
      <xdr:rowOff>0</xdr:rowOff>
    </xdr:from>
    <xdr:to>
      <xdr:col>14</xdr:col>
      <xdr:colOff>1905</xdr:colOff>
      <xdr:row>22</xdr:row>
      <xdr:rowOff>219075</xdr:rowOff>
    </xdr:to>
    <xdr:graphicFrame>
      <xdr:nvGraphicFramePr>
        <xdr:cNvPr id="2" name="图表 4" descr="7b0a202020202263686172745265734964223a20223230343731343133220a7d0a"/>
        <xdr:cNvGraphicFramePr/>
      </xdr:nvGraphicFramePr>
      <xdr:xfrm>
        <a:off x="6424295" y="2148840"/>
        <a:ext cx="3547110" cy="25965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19050</xdr:colOff>
      <xdr:row>7</xdr:row>
      <xdr:rowOff>0</xdr:rowOff>
    </xdr:from>
    <xdr:to>
      <xdr:col>15</xdr:col>
      <xdr:colOff>685165</xdr:colOff>
      <xdr:row>19</xdr:row>
      <xdr:rowOff>149225</xdr:rowOff>
    </xdr:to>
    <xdr:graphicFrame>
      <xdr:nvGraphicFramePr>
        <xdr:cNvPr id="2" name="图表 1"/>
        <xdr:cNvGraphicFramePr/>
      </xdr:nvGraphicFramePr>
      <xdr:xfrm>
        <a:off x="7110730" y="1579880"/>
        <a:ext cx="3753485" cy="25266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19050</xdr:colOff>
      <xdr:row>9</xdr:row>
      <xdr:rowOff>4445</xdr:rowOff>
    </xdr:from>
    <xdr:to>
      <xdr:col>16</xdr:col>
      <xdr:colOff>628650</xdr:colOff>
      <xdr:row>23</xdr:row>
      <xdr:rowOff>160655</xdr:rowOff>
    </xdr:to>
    <xdr:graphicFrame>
      <xdr:nvGraphicFramePr>
        <xdr:cNvPr id="2" name="图表 1"/>
        <xdr:cNvGraphicFramePr/>
      </xdr:nvGraphicFramePr>
      <xdr:xfrm>
        <a:off x="6407150" y="2145665"/>
        <a:ext cx="3762375" cy="29298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17"/>
  <sheetViews>
    <sheetView tabSelected="1" topLeftCell="A197" workbookViewId="0">
      <pane xSplit="1" topLeftCell="B1" activePane="topRight" state="frozen"/>
      <selection/>
      <selection pane="topRight" activeCell="A215" sqref="$A215:$XFD217"/>
    </sheetView>
  </sheetViews>
  <sheetFormatPr defaultColWidth="9" defaultRowHeight="22" customHeight="1"/>
  <cols>
    <col min="1" max="1" width="14.3333333333333" style="32" customWidth="1"/>
    <col min="2" max="2" width="33.1111111111111" style="32" customWidth="1"/>
    <col min="3" max="3" width="7.28703703703704" style="32" customWidth="1"/>
    <col min="4" max="4" width="8.37037037037037" style="32" customWidth="1"/>
    <col min="5" max="26" width="6.37962962962963" style="32" customWidth="1"/>
    <col min="27" max="34" width="9" style="32"/>
    <col min="35" max="35" width="10.3796296296296" style="32"/>
    <col min="36" max="16384" width="9" style="32"/>
  </cols>
  <sheetData>
    <row r="1" s="60" customFormat="1" customHeight="1" spans="1:35">
      <c r="A1" s="60" t="s">
        <v>0</v>
      </c>
      <c r="B1" s="60" t="s">
        <v>1</v>
      </c>
      <c r="C1" s="64" t="s">
        <v>2</v>
      </c>
      <c r="D1" s="64" t="s">
        <v>3</v>
      </c>
      <c r="E1" s="64">
        <v>1</v>
      </c>
      <c r="F1" s="64">
        <v>2</v>
      </c>
      <c r="G1" s="64">
        <v>3</v>
      </c>
      <c r="H1" s="64">
        <v>4</v>
      </c>
      <c r="I1" s="64">
        <v>5</v>
      </c>
      <c r="J1" s="64">
        <v>6</v>
      </c>
      <c r="K1" s="64">
        <v>7</v>
      </c>
      <c r="L1" s="64">
        <v>8</v>
      </c>
      <c r="M1" s="64">
        <v>9</v>
      </c>
      <c r="N1" s="64">
        <v>10</v>
      </c>
      <c r="O1" s="64">
        <v>11</v>
      </c>
      <c r="P1" s="64">
        <v>12</v>
      </c>
      <c r="Q1" s="64">
        <v>13</v>
      </c>
      <c r="R1" s="64">
        <v>14</v>
      </c>
      <c r="S1" s="64">
        <v>15</v>
      </c>
      <c r="T1" s="64">
        <v>16</v>
      </c>
      <c r="U1" s="64">
        <v>17</v>
      </c>
      <c r="V1" s="64">
        <v>18</v>
      </c>
      <c r="W1" s="64">
        <v>19</v>
      </c>
      <c r="X1" s="64">
        <v>20</v>
      </c>
      <c r="Y1" s="64">
        <v>21</v>
      </c>
      <c r="Z1" s="64">
        <v>22</v>
      </c>
      <c r="AA1" s="64"/>
      <c r="AB1" s="64"/>
      <c r="AC1" s="64"/>
      <c r="AD1" s="64"/>
    </row>
    <row r="2" s="61" customFormat="1" customHeight="1" spans="1:35">
      <c r="A2" s="65">
        <v>45962</v>
      </c>
      <c r="B2" s="61" t="s">
        <v>4</v>
      </c>
      <c r="C2" s="61">
        <v>142.06</v>
      </c>
      <c r="D2" s="61">
        <v>101.9</v>
      </c>
      <c r="E2" s="61">
        <v>546</v>
      </c>
      <c r="F2" s="61">
        <v>527.5</v>
      </c>
      <c r="G2" s="61">
        <v>532.6</v>
      </c>
      <c r="H2" s="61">
        <v>537.9</v>
      </c>
      <c r="I2" s="61">
        <v>535.5</v>
      </c>
      <c r="J2" s="61">
        <v>537.1</v>
      </c>
      <c r="K2" s="61">
        <v>528.7</v>
      </c>
      <c r="L2" s="61">
        <v>533.6</v>
      </c>
      <c r="M2" s="61">
        <v>537.3</v>
      </c>
      <c r="N2" s="61">
        <v>538.8</v>
      </c>
      <c r="O2" s="61">
        <v>536.4</v>
      </c>
      <c r="P2" s="61">
        <v>537.1</v>
      </c>
      <c r="Q2" s="61">
        <v>538.3</v>
      </c>
      <c r="R2" s="61">
        <v>534.2</v>
      </c>
      <c r="S2" s="61">
        <v>547.8</v>
      </c>
      <c r="AI2" s="61">
        <v>92.19</v>
      </c>
    </row>
    <row r="3" s="61" customFormat="1" customHeight="1" spans="1:35">
      <c r="A3" s="65">
        <v>45962</v>
      </c>
      <c r="B3" s="61" t="s">
        <v>5</v>
      </c>
      <c r="C3" s="61">
        <v>142.07</v>
      </c>
      <c r="D3" s="61">
        <v>102.2</v>
      </c>
      <c r="E3" s="61">
        <v>546.9</v>
      </c>
      <c r="F3" s="61">
        <v>533.1</v>
      </c>
      <c r="G3" s="61">
        <v>540</v>
      </c>
      <c r="H3" s="61">
        <v>535.8</v>
      </c>
      <c r="I3" s="61">
        <v>542.3</v>
      </c>
      <c r="J3" s="61">
        <v>535.6</v>
      </c>
      <c r="K3" s="61">
        <v>535.4</v>
      </c>
      <c r="L3" s="61">
        <v>531.1</v>
      </c>
      <c r="M3" s="61">
        <v>537.9</v>
      </c>
      <c r="N3" s="61">
        <v>533.4</v>
      </c>
      <c r="O3" s="61">
        <v>537.6</v>
      </c>
      <c r="P3" s="61">
        <v>534.6</v>
      </c>
      <c r="Q3" s="61">
        <v>534.7</v>
      </c>
      <c r="R3" s="61">
        <v>536.3</v>
      </c>
      <c r="S3" s="61">
        <v>551.2</v>
      </c>
      <c r="AI3" s="61">
        <v>92.26</v>
      </c>
    </row>
    <row r="4" s="61" customFormat="1" customHeight="1" spans="1:35">
      <c r="A4" s="65">
        <v>45962</v>
      </c>
      <c r="B4" s="61" t="s">
        <v>6</v>
      </c>
      <c r="C4" s="61">
        <v>142.1</v>
      </c>
      <c r="D4" s="61">
        <v>102.2</v>
      </c>
      <c r="E4" s="61">
        <v>554.2</v>
      </c>
      <c r="F4" s="61">
        <v>543.4</v>
      </c>
      <c r="G4" s="61">
        <v>541.5</v>
      </c>
      <c r="H4" s="61">
        <v>545.7</v>
      </c>
      <c r="I4" s="61">
        <v>546.4</v>
      </c>
      <c r="J4" s="61">
        <v>533.2</v>
      </c>
      <c r="K4" s="61">
        <v>537.2</v>
      </c>
      <c r="L4" s="61">
        <v>544.5</v>
      </c>
      <c r="M4" s="61">
        <v>539.4</v>
      </c>
      <c r="N4" s="61">
        <v>543</v>
      </c>
      <c r="O4" s="61">
        <v>545.1</v>
      </c>
      <c r="P4" s="61">
        <v>540.5</v>
      </c>
      <c r="Q4" s="61">
        <v>544.2</v>
      </c>
      <c r="R4" s="61">
        <v>542.2</v>
      </c>
      <c r="S4" s="61">
        <v>556.9</v>
      </c>
      <c r="AI4" s="61">
        <v>90.65</v>
      </c>
    </row>
    <row r="5" s="61" customFormat="1" customHeight="1" spans="1:35">
      <c r="A5" s="65">
        <v>45962</v>
      </c>
      <c r="B5" s="61" t="s">
        <v>7</v>
      </c>
      <c r="C5" s="61">
        <v>142.09</v>
      </c>
      <c r="D5" s="61">
        <v>100.4</v>
      </c>
      <c r="E5" s="61">
        <v>538.2</v>
      </c>
      <c r="F5" s="61">
        <v>515.8</v>
      </c>
      <c r="G5" s="61">
        <v>524.8</v>
      </c>
      <c r="H5" s="61">
        <v>530.3</v>
      </c>
      <c r="I5" s="61">
        <v>521.8</v>
      </c>
      <c r="J5" s="61">
        <v>523.6</v>
      </c>
      <c r="K5" s="61">
        <v>517.5</v>
      </c>
      <c r="L5" s="61">
        <v>524.2</v>
      </c>
      <c r="M5" s="61">
        <v>524.8</v>
      </c>
      <c r="N5" s="61">
        <v>519.1</v>
      </c>
      <c r="O5" s="61">
        <v>519.3</v>
      </c>
      <c r="P5" s="61">
        <v>517.8</v>
      </c>
      <c r="Q5" s="61">
        <v>519.6</v>
      </c>
      <c r="R5" s="61">
        <v>521.3</v>
      </c>
      <c r="S5" s="61">
        <v>537.7</v>
      </c>
      <c r="AI5" s="61">
        <v>93.05</v>
      </c>
    </row>
    <row r="6" s="61" customFormat="1" customHeight="1" spans="1:35">
      <c r="A6" s="65">
        <v>45962</v>
      </c>
      <c r="B6" s="61" t="s">
        <v>8</v>
      </c>
      <c r="C6" s="61">
        <v>142.09</v>
      </c>
      <c r="D6" s="61">
        <v>101.9</v>
      </c>
      <c r="E6" s="61">
        <v>530.7</v>
      </c>
      <c r="F6" s="61">
        <v>522</v>
      </c>
      <c r="G6" s="61">
        <v>526.7</v>
      </c>
      <c r="H6" s="61">
        <v>530.7</v>
      </c>
      <c r="I6" s="61">
        <v>526.3</v>
      </c>
      <c r="J6" s="61">
        <v>530.6</v>
      </c>
      <c r="K6" s="61">
        <v>521.8</v>
      </c>
      <c r="L6" s="61">
        <v>526.6</v>
      </c>
      <c r="M6" s="61">
        <v>532.8</v>
      </c>
      <c r="N6" s="61">
        <v>525.5</v>
      </c>
      <c r="O6" s="61">
        <v>525.4</v>
      </c>
      <c r="P6" s="61">
        <v>523.4</v>
      </c>
      <c r="Q6" s="61">
        <v>526.4</v>
      </c>
      <c r="R6" s="61">
        <v>532.6</v>
      </c>
      <c r="S6" s="61">
        <v>541.2</v>
      </c>
      <c r="AI6" s="61">
        <v>93.64</v>
      </c>
    </row>
    <row r="7" s="61" customFormat="1" customHeight="1" spans="1:35">
      <c r="A7" s="65">
        <v>45962</v>
      </c>
      <c r="B7" s="61" t="s">
        <v>9</v>
      </c>
      <c r="C7" s="61">
        <v>142.03</v>
      </c>
      <c r="D7" s="61">
        <v>100</v>
      </c>
      <c r="E7" s="61">
        <v>540.6</v>
      </c>
      <c r="F7" s="61">
        <v>525.6</v>
      </c>
      <c r="G7" s="61">
        <v>527</v>
      </c>
      <c r="H7" s="61">
        <v>539.3</v>
      </c>
      <c r="I7" s="61">
        <v>528.2</v>
      </c>
      <c r="J7" s="61">
        <v>531.6</v>
      </c>
      <c r="K7" s="61">
        <v>526.9</v>
      </c>
      <c r="L7" s="61">
        <v>532.4</v>
      </c>
      <c r="M7" s="61">
        <v>534.8</v>
      </c>
      <c r="N7" s="61">
        <v>529.5</v>
      </c>
      <c r="O7" s="61">
        <v>526.8</v>
      </c>
      <c r="P7" s="61">
        <v>525.6</v>
      </c>
      <c r="Q7" s="61">
        <v>537.7</v>
      </c>
      <c r="R7" s="61">
        <v>537.1</v>
      </c>
      <c r="S7" s="61">
        <v>549.6</v>
      </c>
      <c r="AI7" s="61">
        <v>91.13</v>
      </c>
    </row>
    <row r="8" s="61" customFormat="1" customHeight="1" spans="1:35">
      <c r="A8" s="65">
        <v>45962</v>
      </c>
      <c r="B8" s="61" t="s">
        <v>10</v>
      </c>
      <c r="C8" s="61">
        <v>142.06</v>
      </c>
      <c r="D8" s="61">
        <v>100</v>
      </c>
      <c r="E8" s="61">
        <v>535.9</v>
      </c>
      <c r="F8" s="61">
        <v>522.1</v>
      </c>
      <c r="G8" s="61">
        <v>522.1</v>
      </c>
      <c r="H8" s="61">
        <v>536.3</v>
      </c>
      <c r="I8" s="61">
        <v>519.1</v>
      </c>
      <c r="J8" s="61">
        <v>522.2</v>
      </c>
      <c r="K8" s="61">
        <v>520.2</v>
      </c>
      <c r="L8" s="61">
        <v>529.3</v>
      </c>
      <c r="M8" s="61">
        <v>528.3</v>
      </c>
      <c r="N8" s="61">
        <v>527.5</v>
      </c>
      <c r="O8" s="61">
        <v>523.5</v>
      </c>
      <c r="P8" s="61">
        <v>522.9</v>
      </c>
      <c r="Q8" s="61">
        <v>532.1</v>
      </c>
      <c r="R8" s="61">
        <v>535.2</v>
      </c>
      <c r="S8" s="61">
        <v>547</v>
      </c>
      <c r="AI8" s="61">
        <v>91.9</v>
      </c>
    </row>
    <row r="9" s="61" customFormat="1" customHeight="1" spans="1:35">
      <c r="A9" s="65">
        <v>45962</v>
      </c>
      <c r="B9" s="61" t="s">
        <v>11</v>
      </c>
      <c r="C9" s="61">
        <v>142.03</v>
      </c>
      <c r="D9" s="61">
        <v>98.1</v>
      </c>
      <c r="E9" s="61">
        <v>528.9</v>
      </c>
      <c r="F9" s="61">
        <v>516.5</v>
      </c>
      <c r="G9" s="61">
        <v>517.7</v>
      </c>
      <c r="H9" s="61">
        <v>525.8</v>
      </c>
      <c r="I9" s="61">
        <v>519.5</v>
      </c>
      <c r="J9" s="61">
        <v>517.3</v>
      </c>
      <c r="K9" s="61">
        <v>525.8</v>
      </c>
      <c r="L9" s="61">
        <v>534.2</v>
      </c>
      <c r="M9" s="61">
        <v>517.5</v>
      </c>
      <c r="N9" s="61">
        <v>516.1</v>
      </c>
      <c r="O9" s="61">
        <v>518</v>
      </c>
      <c r="P9" s="61">
        <v>515.4</v>
      </c>
      <c r="Q9" s="61">
        <v>519.1</v>
      </c>
      <c r="R9" s="61">
        <v>525.4</v>
      </c>
      <c r="S9" s="61">
        <v>528.9</v>
      </c>
      <c r="AI9" s="61">
        <v>91.3</v>
      </c>
    </row>
    <row r="10" s="61" customFormat="1" customHeight="1" spans="1:35">
      <c r="A10" s="65">
        <v>45962</v>
      </c>
      <c r="B10" s="61" t="s">
        <v>12</v>
      </c>
      <c r="C10" s="61">
        <v>142.09</v>
      </c>
      <c r="D10" s="61">
        <v>98.1</v>
      </c>
      <c r="E10" s="61">
        <v>530.9</v>
      </c>
      <c r="F10" s="61">
        <v>530.5</v>
      </c>
      <c r="G10" s="61">
        <v>527.8</v>
      </c>
      <c r="H10" s="61">
        <v>530.9</v>
      </c>
      <c r="I10" s="61">
        <v>522</v>
      </c>
      <c r="J10" s="61">
        <v>520.7</v>
      </c>
      <c r="K10" s="61">
        <v>538</v>
      </c>
      <c r="L10" s="61">
        <v>536.6</v>
      </c>
      <c r="M10" s="61">
        <v>519.6</v>
      </c>
      <c r="N10" s="61">
        <v>527.1</v>
      </c>
      <c r="O10" s="61">
        <v>523.5</v>
      </c>
      <c r="P10" s="61">
        <v>517.8</v>
      </c>
      <c r="Q10" s="61">
        <v>533.8</v>
      </c>
      <c r="R10" s="61">
        <v>534.8</v>
      </c>
      <c r="S10" s="61">
        <v>540.8</v>
      </c>
      <c r="AI10" s="61">
        <v>90.01</v>
      </c>
    </row>
    <row r="11" s="61" customFormat="1" customHeight="1" spans="1:35">
      <c r="A11" s="65">
        <v>45962</v>
      </c>
      <c r="B11" s="61" t="s">
        <v>13</v>
      </c>
      <c r="C11" s="61">
        <v>142.09</v>
      </c>
      <c r="D11" s="61">
        <v>99.4</v>
      </c>
      <c r="E11" s="61">
        <v>535.7</v>
      </c>
      <c r="F11" s="61">
        <v>510.2</v>
      </c>
      <c r="G11" s="61">
        <v>510.4</v>
      </c>
      <c r="H11" s="61">
        <v>526.3</v>
      </c>
      <c r="I11" s="61">
        <v>528.1</v>
      </c>
      <c r="J11" s="61">
        <v>519.8</v>
      </c>
      <c r="K11" s="61">
        <v>524.3</v>
      </c>
      <c r="L11" s="61">
        <v>518.2</v>
      </c>
      <c r="M11" s="61">
        <v>533</v>
      </c>
      <c r="N11" s="61">
        <v>516</v>
      </c>
      <c r="O11" s="61">
        <v>519.9</v>
      </c>
      <c r="P11" s="61">
        <v>520.6</v>
      </c>
      <c r="Q11" s="61">
        <v>524.3</v>
      </c>
      <c r="R11" s="61">
        <v>526.5</v>
      </c>
      <c r="S11" s="61">
        <v>544.5</v>
      </c>
      <c r="AI11" s="61">
        <v>92.1</v>
      </c>
    </row>
    <row r="12" s="61" customFormat="1" customHeight="1" spans="1:35">
      <c r="A12" s="65">
        <v>45962</v>
      </c>
      <c r="B12" s="61" t="s">
        <v>14</v>
      </c>
      <c r="C12" s="61">
        <v>142.03</v>
      </c>
      <c r="D12" s="61">
        <v>103.9</v>
      </c>
      <c r="E12" s="61">
        <v>550.3</v>
      </c>
      <c r="F12" s="61">
        <v>553.7</v>
      </c>
      <c r="G12" s="61">
        <v>544</v>
      </c>
      <c r="H12" s="61">
        <v>548.6</v>
      </c>
      <c r="I12" s="61">
        <v>546.6</v>
      </c>
      <c r="J12" s="61">
        <v>543</v>
      </c>
      <c r="K12" s="61">
        <v>537.9</v>
      </c>
      <c r="L12" s="61">
        <v>543.2</v>
      </c>
      <c r="M12" s="61">
        <v>542.4</v>
      </c>
      <c r="N12" s="61">
        <v>539.2</v>
      </c>
      <c r="O12" s="61">
        <v>542.3</v>
      </c>
      <c r="P12" s="61">
        <v>540.3</v>
      </c>
      <c r="Q12" s="61">
        <v>539.2</v>
      </c>
      <c r="R12" s="61">
        <v>540.1</v>
      </c>
      <c r="S12" s="61">
        <v>555.2</v>
      </c>
      <c r="AI12" s="61">
        <v>92.67</v>
      </c>
    </row>
    <row r="13" s="61" customFormat="1" customHeight="1" spans="1:35">
      <c r="A13" s="65">
        <v>45962</v>
      </c>
      <c r="B13" s="61" t="s">
        <v>15</v>
      </c>
      <c r="C13" s="61">
        <v>142.04</v>
      </c>
      <c r="D13" s="61">
        <v>99</v>
      </c>
      <c r="E13" s="61">
        <v>543.7</v>
      </c>
      <c r="F13" s="61">
        <v>540.3</v>
      </c>
      <c r="G13" s="61">
        <v>531.9</v>
      </c>
      <c r="H13" s="61">
        <v>523.8</v>
      </c>
      <c r="I13" s="61">
        <v>519</v>
      </c>
      <c r="J13" s="61">
        <v>517.7</v>
      </c>
      <c r="K13" s="61">
        <v>510.5</v>
      </c>
      <c r="L13" s="61">
        <v>530.9</v>
      </c>
      <c r="M13" s="61">
        <v>515.3</v>
      </c>
      <c r="N13" s="61">
        <v>518.9</v>
      </c>
      <c r="O13" s="61">
        <v>528.4</v>
      </c>
      <c r="P13" s="61">
        <v>532.8</v>
      </c>
      <c r="Q13" s="61">
        <v>536.8</v>
      </c>
      <c r="R13" s="61">
        <v>543.1</v>
      </c>
      <c r="S13" s="61">
        <v>561</v>
      </c>
      <c r="AI13" s="61">
        <v>90.65</v>
      </c>
    </row>
    <row r="14" s="61" customFormat="1" customHeight="1" spans="1:35">
      <c r="A14" s="65">
        <v>45962</v>
      </c>
      <c r="B14" s="61" t="s">
        <v>16</v>
      </c>
      <c r="C14" s="61">
        <v>142.1</v>
      </c>
      <c r="D14" s="61">
        <v>100.4</v>
      </c>
      <c r="E14" s="61">
        <v>532.9</v>
      </c>
      <c r="F14" s="61">
        <v>517.1</v>
      </c>
      <c r="G14" s="61">
        <v>517.7</v>
      </c>
      <c r="H14" s="61">
        <v>527.2</v>
      </c>
      <c r="I14" s="61">
        <v>529.5</v>
      </c>
      <c r="J14" s="61">
        <v>528</v>
      </c>
      <c r="K14" s="61">
        <v>516</v>
      </c>
      <c r="L14" s="61">
        <v>523.4</v>
      </c>
      <c r="M14" s="61">
        <v>519</v>
      </c>
      <c r="N14" s="61">
        <v>518.6</v>
      </c>
      <c r="O14" s="61">
        <v>518.7</v>
      </c>
      <c r="P14" s="61">
        <v>518.5</v>
      </c>
      <c r="Q14" s="61">
        <v>519</v>
      </c>
      <c r="R14" s="61">
        <v>519.8</v>
      </c>
      <c r="S14" s="61">
        <v>535.9</v>
      </c>
      <c r="AI14" s="61">
        <v>93.21</v>
      </c>
    </row>
    <row r="15" s="61" customFormat="1" customHeight="1" spans="1:35">
      <c r="A15" s="65">
        <v>45962</v>
      </c>
      <c r="B15" s="61" t="s">
        <v>17</v>
      </c>
      <c r="C15" s="61">
        <v>142.04</v>
      </c>
      <c r="D15" s="61">
        <v>102.2</v>
      </c>
      <c r="E15" s="61">
        <v>543.9</v>
      </c>
      <c r="F15" s="61">
        <v>528.5</v>
      </c>
      <c r="G15" s="61">
        <v>532.9</v>
      </c>
      <c r="H15" s="61">
        <v>537.4</v>
      </c>
      <c r="I15" s="61">
        <v>539</v>
      </c>
      <c r="J15" s="61">
        <v>535.1</v>
      </c>
      <c r="K15" s="61">
        <v>527</v>
      </c>
      <c r="L15" s="61">
        <v>537.5</v>
      </c>
      <c r="M15" s="61">
        <v>536.1</v>
      </c>
      <c r="N15" s="61">
        <v>534.8</v>
      </c>
      <c r="O15" s="61">
        <v>537.7</v>
      </c>
      <c r="P15" s="61">
        <v>536.9</v>
      </c>
      <c r="Q15" s="61">
        <v>539.9</v>
      </c>
      <c r="R15" s="61">
        <v>535.3</v>
      </c>
      <c r="S15" s="61">
        <v>544.8</v>
      </c>
      <c r="AI15" s="61">
        <v>92.5</v>
      </c>
    </row>
    <row r="16" s="61" customFormat="1" customHeight="1" spans="1:35">
      <c r="A16" s="65">
        <v>45962</v>
      </c>
      <c r="B16" s="61" t="s">
        <v>18</v>
      </c>
      <c r="C16" s="61">
        <v>142.08</v>
      </c>
      <c r="D16" s="61">
        <v>96.2</v>
      </c>
      <c r="E16" s="61">
        <v>534.8</v>
      </c>
      <c r="F16" s="61">
        <v>513</v>
      </c>
      <c r="G16" s="61">
        <v>509.2</v>
      </c>
      <c r="H16" s="61">
        <v>489.6</v>
      </c>
      <c r="I16" s="61">
        <v>501.4</v>
      </c>
      <c r="J16" s="61">
        <v>499.6</v>
      </c>
      <c r="K16" s="61">
        <v>491.3</v>
      </c>
      <c r="L16" s="61">
        <v>502.4</v>
      </c>
      <c r="M16" s="61">
        <v>499.4</v>
      </c>
      <c r="N16" s="61">
        <v>499.7</v>
      </c>
      <c r="O16" s="61">
        <v>493.6</v>
      </c>
      <c r="P16" s="61">
        <v>520.6</v>
      </c>
      <c r="Q16" s="61">
        <v>528</v>
      </c>
      <c r="R16" s="61">
        <v>527</v>
      </c>
      <c r="S16" s="61">
        <v>554</v>
      </c>
      <c r="AI16" s="61">
        <v>91.4</v>
      </c>
    </row>
    <row r="17" s="61" customFormat="1" customHeight="1" spans="1:35">
      <c r="A17" s="65">
        <v>45962</v>
      </c>
      <c r="B17" s="61" t="s">
        <v>19</v>
      </c>
      <c r="C17" s="61">
        <v>142.08</v>
      </c>
      <c r="D17" s="61">
        <v>103.4</v>
      </c>
      <c r="E17" s="61">
        <v>549.9</v>
      </c>
      <c r="F17" s="61">
        <v>541.9</v>
      </c>
      <c r="G17" s="61">
        <v>543.4</v>
      </c>
      <c r="H17" s="61">
        <v>543.2</v>
      </c>
      <c r="I17" s="61">
        <v>543.6</v>
      </c>
      <c r="J17" s="61">
        <v>542.1</v>
      </c>
      <c r="K17" s="61">
        <v>536.3</v>
      </c>
      <c r="L17" s="61">
        <v>538.1</v>
      </c>
      <c r="M17" s="61">
        <v>539</v>
      </c>
      <c r="N17" s="61">
        <v>541.2</v>
      </c>
      <c r="O17" s="61">
        <v>541.6</v>
      </c>
      <c r="P17" s="61">
        <v>540.4</v>
      </c>
      <c r="Q17" s="61">
        <v>539.8</v>
      </c>
      <c r="R17" s="61">
        <v>541.8</v>
      </c>
      <c r="S17" s="61">
        <v>556.1</v>
      </c>
      <c r="AI17" s="61">
        <v>92.51</v>
      </c>
    </row>
    <row r="18" s="61" customFormat="1" customHeight="1" spans="1:35">
      <c r="A18" s="65">
        <v>45962</v>
      </c>
      <c r="B18" s="61" t="s">
        <v>20</v>
      </c>
      <c r="C18" s="61">
        <v>142.08</v>
      </c>
      <c r="D18" s="61">
        <v>94</v>
      </c>
      <c r="E18" s="61">
        <v>522.6</v>
      </c>
      <c r="F18" s="61">
        <v>480.9</v>
      </c>
      <c r="G18" s="61">
        <v>481.2</v>
      </c>
      <c r="H18" s="61">
        <v>473.6</v>
      </c>
      <c r="I18" s="61">
        <v>475.9</v>
      </c>
      <c r="J18" s="61">
        <v>483.3</v>
      </c>
      <c r="K18" s="61">
        <v>476.5</v>
      </c>
      <c r="L18" s="61">
        <v>478.5</v>
      </c>
      <c r="M18" s="61">
        <v>473.3</v>
      </c>
      <c r="N18" s="61">
        <v>481.6</v>
      </c>
      <c r="O18" s="61">
        <v>482.8</v>
      </c>
      <c r="P18" s="61">
        <v>480.9</v>
      </c>
      <c r="Q18" s="61">
        <v>489.5</v>
      </c>
      <c r="R18" s="61">
        <v>513.2</v>
      </c>
      <c r="S18" s="61">
        <v>527.7</v>
      </c>
      <c r="AI18" s="61">
        <v>93.48</v>
      </c>
    </row>
    <row r="19" s="61" customFormat="1" customHeight="1" spans="1:35">
      <c r="A19" s="65">
        <v>45962</v>
      </c>
      <c r="B19" s="61" t="s">
        <v>21</v>
      </c>
      <c r="C19" s="61">
        <v>142.12</v>
      </c>
      <c r="D19" s="61">
        <v>94.3</v>
      </c>
      <c r="E19" s="61">
        <v>533.4</v>
      </c>
      <c r="F19" s="61">
        <v>493.4</v>
      </c>
      <c r="G19" s="61">
        <v>491.7</v>
      </c>
      <c r="H19" s="61">
        <v>490</v>
      </c>
      <c r="I19" s="61">
        <v>485.6</v>
      </c>
      <c r="J19" s="61">
        <v>513.3</v>
      </c>
      <c r="K19" s="61">
        <v>488.4</v>
      </c>
      <c r="L19" s="61">
        <v>488.5</v>
      </c>
      <c r="M19" s="61">
        <v>489.7</v>
      </c>
      <c r="N19" s="61">
        <v>488.8</v>
      </c>
      <c r="O19" s="61">
        <v>481</v>
      </c>
      <c r="P19" s="61">
        <v>486</v>
      </c>
      <c r="Q19" s="61">
        <v>500.9</v>
      </c>
      <c r="R19" s="61">
        <v>519.8</v>
      </c>
      <c r="S19" s="61">
        <v>559.6</v>
      </c>
      <c r="AI19" s="61">
        <v>91.4</v>
      </c>
    </row>
    <row r="20" s="61" customFormat="1" customHeight="1" spans="1:35">
      <c r="A20" s="65">
        <v>45962</v>
      </c>
      <c r="B20" s="61" t="s">
        <v>22</v>
      </c>
      <c r="C20" s="61">
        <v>142.06</v>
      </c>
      <c r="D20" s="61">
        <v>101.3</v>
      </c>
      <c r="E20" s="61">
        <v>538.2</v>
      </c>
      <c r="F20" s="61">
        <v>529.1</v>
      </c>
      <c r="G20" s="61">
        <v>525.5</v>
      </c>
      <c r="H20" s="61">
        <v>543.8</v>
      </c>
      <c r="I20" s="61">
        <v>531.2</v>
      </c>
      <c r="J20" s="61">
        <v>522.8</v>
      </c>
      <c r="K20" s="61">
        <v>527.3</v>
      </c>
      <c r="L20" s="61">
        <v>530.3</v>
      </c>
      <c r="M20" s="61">
        <v>530.8</v>
      </c>
      <c r="N20" s="61">
        <v>530.1</v>
      </c>
      <c r="O20" s="61">
        <v>537.9</v>
      </c>
      <c r="P20" s="61">
        <v>525.3</v>
      </c>
      <c r="Q20" s="61">
        <v>528</v>
      </c>
      <c r="R20" s="61">
        <v>527.3</v>
      </c>
      <c r="S20" s="61">
        <v>546.9</v>
      </c>
      <c r="AI20" s="61">
        <v>92.5</v>
      </c>
    </row>
    <row r="21" s="61" customFormat="1" customHeight="1" spans="1:35">
      <c r="A21" s="65">
        <v>45962</v>
      </c>
      <c r="B21" s="61" t="s">
        <v>23</v>
      </c>
      <c r="C21" s="61">
        <v>142.14</v>
      </c>
      <c r="D21" s="61">
        <v>93.1</v>
      </c>
      <c r="E21" s="61">
        <v>517.1</v>
      </c>
      <c r="F21" s="61">
        <v>475.1</v>
      </c>
      <c r="G21" s="61">
        <v>481.9</v>
      </c>
      <c r="H21" s="61">
        <v>489.2</v>
      </c>
      <c r="I21" s="61">
        <v>484.4</v>
      </c>
      <c r="J21" s="61">
        <v>483.3</v>
      </c>
      <c r="K21" s="61">
        <v>476.1</v>
      </c>
      <c r="L21" s="61">
        <v>484.3</v>
      </c>
      <c r="M21" s="61">
        <v>479.1</v>
      </c>
      <c r="N21" s="61">
        <v>480.8</v>
      </c>
      <c r="O21" s="61">
        <v>474.2</v>
      </c>
      <c r="P21" s="61">
        <v>474.2</v>
      </c>
      <c r="Q21" s="61">
        <v>488.5</v>
      </c>
      <c r="R21" s="61">
        <v>509.3</v>
      </c>
      <c r="S21" s="61">
        <v>542.5</v>
      </c>
      <c r="AI21" s="61">
        <v>92.31</v>
      </c>
    </row>
    <row r="22" s="61" customFormat="1" customHeight="1" spans="1:35">
      <c r="A22" s="65">
        <v>45962</v>
      </c>
      <c r="B22" s="61" t="s">
        <v>24</v>
      </c>
      <c r="C22" s="61">
        <v>142.14</v>
      </c>
      <c r="D22" s="61">
        <v>100.5</v>
      </c>
      <c r="E22" s="61">
        <v>536.2</v>
      </c>
      <c r="F22" s="61">
        <v>521.4</v>
      </c>
      <c r="G22" s="61">
        <v>528.1</v>
      </c>
      <c r="H22" s="61">
        <v>540.2</v>
      </c>
      <c r="I22" s="61">
        <v>519.5</v>
      </c>
      <c r="J22" s="61">
        <v>524.6</v>
      </c>
      <c r="K22" s="61">
        <v>520.4</v>
      </c>
      <c r="L22" s="61">
        <v>525</v>
      </c>
      <c r="M22" s="61">
        <v>526</v>
      </c>
      <c r="N22" s="61">
        <v>527.2</v>
      </c>
      <c r="O22" s="61">
        <v>523.2</v>
      </c>
      <c r="P22" s="61">
        <v>526.9</v>
      </c>
      <c r="Q22" s="61">
        <v>524</v>
      </c>
      <c r="R22" s="61">
        <v>532.8</v>
      </c>
      <c r="S22" s="61">
        <v>550.1</v>
      </c>
      <c r="AI22" s="61">
        <v>92.29</v>
      </c>
    </row>
    <row r="23" s="61" customFormat="1" customHeight="1" spans="1:35">
      <c r="A23" s="65">
        <v>45962</v>
      </c>
      <c r="B23" s="61" t="s">
        <v>25</v>
      </c>
      <c r="C23" s="61">
        <v>142.17</v>
      </c>
      <c r="D23" s="61">
        <v>91.9</v>
      </c>
      <c r="E23" s="61">
        <v>516.6</v>
      </c>
      <c r="F23" s="61">
        <v>481</v>
      </c>
      <c r="G23" s="61">
        <v>487.2</v>
      </c>
      <c r="H23" s="61">
        <v>492.2</v>
      </c>
      <c r="I23" s="61">
        <v>478.1</v>
      </c>
      <c r="J23" s="61">
        <v>487.7</v>
      </c>
      <c r="K23" s="61">
        <v>476.9</v>
      </c>
      <c r="L23" s="61">
        <v>484.7</v>
      </c>
      <c r="M23" s="61">
        <v>488.8</v>
      </c>
      <c r="N23" s="61">
        <v>480.1</v>
      </c>
      <c r="O23" s="61">
        <v>472.7</v>
      </c>
      <c r="P23" s="61">
        <v>469.7</v>
      </c>
      <c r="Q23" s="61">
        <v>485.3</v>
      </c>
      <c r="R23" s="61">
        <v>510.5</v>
      </c>
      <c r="S23" s="61">
        <v>552.4</v>
      </c>
      <c r="AI23" s="61">
        <v>90.81</v>
      </c>
    </row>
    <row r="24" s="61" customFormat="1" customHeight="1" spans="1:35">
      <c r="A24" s="65">
        <v>45962</v>
      </c>
      <c r="B24" s="61" t="s">
        <v>26</v>
      </c>
      <c r="C24" s="61">
        <v>142.06</v>
      </c>
      <c r="D24" s="61">
        <v>98.5</v>
      </c>
      <c r="E24" s="61">
        <v>526.7</v>
      </c>
      <c r="F24" s="61">
        <v>516</v>
      </c>
      <c r="G24" s="61">
        <v>524.7</v>
      </c>
      <c r="H24" s="61">
        <v>534.2</v>
      </c>
      <c r="I24" s="61">
        <v>521.1</v>
      </c>
      <c r="J24" s="61">
        <v>517.5</v>
      </c>
      <c r="K24" s="61">
        <v>523.4</v>
      </c>
      <c r="L24" s="61">
        <v>533.1</v>
      </c>
      <c r="M24" s="61">
        <v>520</v>
      </c>
      <c r="N24" s="61">
        <v>514.9</v>
      </c>
      <c r="O24" s="61">
        <v>515.5</v>
      </c>
      <c r="P24" s="61">
        <v>513.7</v>
      </c>
      <c r="Q24" s="61">
        <v>515.8</v>
      </c>
      <c r="R24" s="61">
        <v>524.1</v>
      </c>
      <c r="S24" s="61">
        <v>530.7</v>
      </c>
      <c r="AI24" s="61">
        <v>91.59</v>
      </c>
    </row>
    <row r="25" s="61" customFormat="1" customHeight="1" spans="1:35">
      <c r="A25" s="65">
        <v>45962</v>
      </c>
      <c r="B25" s="61" t="s">
        <v>27</v>
      </c>
      <c r="C25" s="61">
        <v>142.19</v>
      </c>
      <c r="D25" s="61">
        <v>93</v>
      </c>
      <c r="E25" s="61">
        <v>508.6</v>
      </c>
      <c r="F25" s="61">
        <v>480.8</v>
      </c>
      <c r="G25" s="61">
        <v>480.9</v>
      </c>
      <c r="H25" s="61">
        <v>486.9</v>
      </c>
      <c r="I25" s="61">
        <v>484.5</v>
      </c>
      <c r="J25" s="61">
        <v>489.1</v>
      </c>
      <c r="K25" s="61">
        <v>481.2</v>
      </c>
      <c r="L25" s="61">
        <v>489</v>
      </c>
      <c r="M25" s="61">
        <v>487.4</v>
      </c>
      <c r="N25" s="61">
        <v>474.5</v>
      </c>
      <c r="O25" s="61">
        <v>468.3</v>
      </c>
      <c r="P25" s="61">
        <v>468</v>
      </c>
      <c r="Q25" s="61">
        <v>476.4</v>
      </c>
      <c r="R25" s="61">
        <v>503.9</v>
      </c>
      <c r="S25" s="61">
        <v>540.2</v>
      </c>
      <c r="AI25" s="61">
        <v>92.44</v>
      </c>
    </row>
    <row r="26" s="61" customFormat="1" customHeight="1" spans="1:35">
      <c r="A26" s="65">
        <v>45962</v>
      </c>
      <c r="B26" s="61" t="s">
        <v>28</v>
      </c>
      <c r="C26" s="61">
        <v>142.19</v>
      </c>
      <c r="D26" s="61">
        <v>93.5</v>
      </c>
      <c r="E26" s="61">
        <v>516.9</v>
      </c>
      <c r="F26" s="61">
        <v>478.5</v>
      </c>
      <c r="G26" s="61">
        <v>493.6</v>
      </c>
      <c r="H26" s="61">
        <v>495.8</v>
      </c>
      <c r="I26" s="61">
        <v>482.5</v>
      </c>
      <c r="J26" s="61">
        <v>482.9</v>
      </c>
      <c r="K26" s="61">
        <v>479.7</v>
      </c>
      <c r="L26" s="61">
        <v>484.6</v>
      </c>
      <c r="M26" s="61">
        <v>483.9</v>
      </c>
      <c r="N26" s="61">
        <v>476.6</v>
      </c>
      <c r="O26" s="61">
        <v>471.5</v>
      </c>
      <c r="P26" s="61">
        <v>470</v>
      </c>
      <c r="Q26" s="61">
        <v>490.1</v>
      </c>
      <c r="R26" s="61">
        <v>509.4</v>
      </c>
      <c r="S26" s="61">
        <v>551.1</v>
      </c>
      <c r="AI26" s="61">
        <v>92.34</v>
      </c>
    </row>
    <row r="27" s="61" customFormat="1" customHeight="1" spans="1:35">
      <c r="A27" s="65">
        <v>45962</v>
      </c>
      <c r="B27" s="61" t="s">
        <v>29</v>
      </c>
      <c r="C27" s="61">
        <v>142.04</v>
      </c>
      <c r="D27" s="61">
        <v>100.8</v>
      </c>
      <c r="E27" s="61">
        <v>546</v>
      </c>
      <c r="F27" s="61">
        <v>522.9</v>
      </c>
      <c r="G27" s="61">
        <v>529.3</v>
      </c>
      <c r="H27" s="61">
        <v>532</v>
      </c>
      <c r="I27" s="61">
        <v>529.7</v>
      </c>
      <c r="J27" s="61">
        <v>526.6</v>
      </c>
      <c r="K27" s="61">
        <v>520.3</v>
      </c>
      <c r="L27" s="61">
        <v>524.2</v>
      </c>
      <c r="M27" s="61">
        <v>535.8</v>
      </c>
      <c r="N27" s="61">
        <v>524</v>
      </c>
      <c r="O27" s="61">
        <v>527.3</v>
      </c>
      <c r="P27" s="61">
        <v>523.9</v>
      </c>
      <c r="Q27" s="61">
        <v>529.8</v>
      </c>
      <c r="R27" s="61">
        <v>526.2</v>
      </c>
      <c r="S27" s="61">
        <v>546.1</v>
      </c>
      <c r="AI27" s="61">
        <v>92.41</v>
      </c>
    </row>
    <row r="28" s="61" customFormat="1" customHeight="1" spans="1:35">
      <c r="A28" s="65">
        <v>45962</v>
      </c>
      <c r="B28" s="61" t="s">
        <v>30</v>
      </c>
      <c r="C28" s="61">
        <v>142.26</v>
      </c>
      <c r="D28" s="61">
        <v>94.3</v>
      </c>
      <c r="E28" s="61">
        <v>518.8</v>
      </c>
      <c r="F28" s="61">
        <v>493.9</v>
      </c>
      <c r="G28" s="61">
        <v>494.9</v>
      </c>
      <c r="H28" s="61">
        <v>506</v>
      </c>
      <c r="I28" s="61">
        <v>499.2</v>
      </c>
      <c r="J28" s="61">
        <v>490.5</v>
      </c>
      <c r="K28" s="61">
        <v>503.9</v>
      </c>
      <c r="L28" s="61">
        <v>497.2</v>
      </c>
      <c r="M28" s="61">
        <v>502.1</v>
      </c>
      <c r="N28" s="61">
        <v>486.2</v>
      </c>
      <c r="O28" s="61">
        <v>483.9</v>
      </c>
      <c r="P28" s="61">
        <v>478.1</v>
      </c>
      <c r="Q28" s="61">
        <v>491</v>
      </c>
      <c r="R28" s="61">
        <v>508.1</v>
      </c>
      <c r="S28" s="61">
        <v>552.4</v>
      </c>
      <c r="AI28" s="61">
        <v>91.35</v>
      </c>
    </row>
    <row r="29" s="61" customFormat="1" customHeight="1" spans="1:35">
      <c r="A29" s="65">
        <v>45962</v>
      </c>
      <c r="B29" s="61" t="s">
        <v>31</v>
      </c>
      <c r="C29" s="61">
        <v>142.17</v>
      </c>
      <c r="D29" s="61">
        <v>94.4</v>
      </c>
      <c r="E29" s="61">
        <v>510.4</v>
      </c>
      <c r="F29" s="61">
        <v>504.6</v>
      </c>
      <c r="G29" s="61">
        <v>503.5</v>
      </c>
      <c r="H29" s="61">
        <v>510.1</v>
      </c>
      <c r="I29" s="61">
        <v>513.2</v>
      </c>
      <c r="J29" s="61">
        <v>495.6</v>
      </c>
      <c r="K29" s="61">
        <v>492.1</v>
      </c>
      <c r="L29" s="61">
        <v>513.6</v>
      </c>
      <c r="M29" s="61">
        <v>505.7</v>
      </c>
      <c r="N29" s="61">
        <v>491.3</v>
      </c>
      <c r="O29" s="61">
        <v>487.4</v>
      </c>
      <c r="P29" s="61">
        <v>481</v>
      </c>
      <c r="Q29" s="61">
        <v>497.6</v>
      </c>
      <c r="R29" s="61">
        <v>504</v>
      </c>
      <c r="S29" s="61">
        <v>541.4</v>
      </c>
      <c r="AI29" s="61">
        <v>90.96</v>
      </c>
    </row>
    <row r="30" s="61" customFormat="1" customHeight="1" spans="1:35">
      <c r="A30" s="65">
        <v>45962</v>
      </c>
      <c r="B30" s="61" t="s">
        <v>32</v>
      </c>
      <c r="C30" s="61">
        <v>142.19</v>
      </c>
      <c r="D30" s="61">
        <v>93.7</v>
      </c>
      <c r="E30" s="61">
        <v>527.6</v>
      </c>
      <c r="F30" s="61">
        <v>487.1</v>
      </c>
      <c r="G30" s="61">
        <v>498.7</v>
      </c>
      <c r="H30" s="61">
        <v>501.3</v>
      </c>
      <c r="I30" s="61">
        <v>487.1</v>
      </c>
      <c r="J30" s="61">
        <v>485.1</v>
      </c>
      <c r="K30" s="61">
        <v>484.3</v>
      </c>
      <c r="L30" s="61">
        <v>490.7</v>
      </c>
      <c r="M30" s="61">
        <v>490.6</v>
      </c>
      <c r="N30" s="61">
        <v>485.4</v>
      </c>
      <c r="O30" s="61">
        <v>480.1</v>
      </c>
      <c r="P30" s="61">
        <v>482.4</v>
      </c>
      <c r="Q30" s="61">
        <v>491.4</v>
      </c>
      <c r="R30" s="61">
        <v>521.4</v>
      </c>
      <c r="S30" s="61">
        <v>561.3</v>
      </c>
      <c r="AI30" s="61">
        <v>91.2</v>
      </c>
    </row>
    <row r="31" s="61" customFormat="1" customHeight="1" spans="1:35">
      <c r="A31" s="65">
        <v>45962</v>
      </c>
      <c r="B31" s="61" t="s">
        <v>33</v>
      </c>
      <c r="C31" s="61">
        <v>142.26</v>
      </c>
      <c r="D31" s="61">
        <v>96.9</v>
      </c>
      <c r="E31" s="61">
        <v>535.6</v>
      </c>
      <c r="F31" s="61">
        <v>525.4</v>
      </c>
      <c r="G31" s="61">
        <v>525.9</v>
      </c>
      <c r="H31" s="61">
        <v>521.7</v>
      </c>
      <c r="I31" s="61">
        <v>504.2</v>
      </c>
      <c r="J31" s="61">
        <v>504</v>
      </c>
      <c r="K31" s="61">
        <v>500.4</v>
      </c>
      <c r="L31" s="61">
        <v>512.4</v>
      </c>
      <c r="M31" s="61">
        <v>516.1</v>
      </c>
      <c r="N31" s="61">
        <v>509.6</v>
      </c>
      <c r="O31" s="61">
        <v>499.2</v>
      </c>
      <c r="P31" s="61">
        <v>500.8</v>
      </c>
      <c r="Q31" s="61">
        <v>516.4</v>
      </c>
      <c r="R31" s="61">
        <v>521.4</v>
      </c>
      <c r="S31" s="61">
        <v>551.6</v>
      </c>
      <c r="AI31" s="61">
        <v>90.98</v>
      </c>
    </row>
    <row r="32" s="61" customFormat="1" customHeight="1" spans="1:35">
      <c r="A32" s="65">
        <v>45962</v>
      </c>
      <c r="B32" s="61" t="s">
        <v>34</v>
      </c>
      <c r="C32" s="61">
        <v>142.14</v>
      </c>
      <c r="D32" s="61">
        <v>98.1</v>
      </c>
      <c r="E32" s="61">
        <v>535.2</v>
      </c>
      <c r="F32" s="61">
        <v>524.8</v>
      </c>
      <c r="G32" s="61">
        <v>529</v>
      </c>
      <c r="H32" s="61">
        <v>531.8</v>
      </c>
      <c r="I32" s="61">
        <v>516.1</v>
      </c>
      <c r="J32" s="61">
        <v>504.6</v>
      </c>
      <c r="K32" s="61">
        <v>512.5</v>
      </c>
      <c r="L32" s="61">
        <v>532.5</v>
      </c>
      <c r="M32" s="61">
        <v>516.6</v>
      </c>
      <c r="N32" s="61">
        <v>527.4</v>
      </c>
      <c r="O32" s="61">
        <v>514.5</v>
      </c>
      <c r="P32" s="61">
        <v>519.5</v>
      </c>
      <c r="Q32" s="61">
        <v>525.1</v>
      </c>
      <c r="R32" s="61">
        <v>537.5</v>
      </c>
      <c r="S32" s="61">
        <v>549.6</v>
      </c>
      <c r="AI32" s="61">
        <v>90.64</v>
      </c>
    </row>
    <row r="33" s="61" customFormat="1" customHeight="1" spans="1:35">
      <c r="A33" s="65">
        <v>45962</v>
      </c>
      <c r="B33" s="61" t="s">
        <v>35</v>
      </c>
      <c r="C33" s="61">
        <v>142.21</v>
      </c>
      <c r="D33" s="61">
        <v>97</v>
      </c>
      <c r="E33" s="61">
        <v>530.6</v>
      </c>
      <c r="F33" s="61">
        <v>514.3</v>
      </c>
      <c r="G33" s="61">
        <v>527.2</v>
      </c>
      <c r="H33" s="61">
        <v>513.9</v>
      </c>
      <c r="I33" s="61">
        <v>507.4</v>
      </c>
      <c r="J33" s="61">
        <v>509.5</v>
      </c>
      <c r="K33" s="61">
        <v>500.3</v>
      </c>
      <c r="L33" s="61">
        <v>507.8</v>
      </c>
      <c r="M33" s="61">
        <v>511.9</v>
      </c>
      <c r="N33" s="61">
        <v>514.6</v>
      </c>
      <c r="O33" s="61">
        <v>501.8</v>
      </c>
      <c r="P33" s="61">
        <v>508.6</v>
      </c>
      <c r="Q33" s="61">
        <v>506</v>
      </c>
      <c r="R33" s="61">
        <v>517</v>
      </c>
      <c r="S33" s="61">
        <v>545.7</v>
      </c>
      <c r="AI33" s="61">
        <v>91.44</v>
      </c>
    </row>
    <row r="34" s="61" customFormat="1" customHeight="1" spans="1:35">
      <c r="A34" s="65">
        <v>45962</v>
      </c>
      <c r="B34" s="61" t="s">
        <v>36</v>
      </c>
      <c r="C34" s="61">
        <v>142.09</v>
      </c>
      <c r="D34" s="61">
        <v>99.5</v>
      </c>
      <c r="E34" s="61">
        <v>537.2</v>
      </c>
      <c r="F34" s="61">
        <v>527.2</v>
      </c>
      <c r="G34" s="61">
        <v>527.6</v>
      </c>
      <c r="H34" s="61">
        <v>540.8</v>
      </c>
      <c r="I34" s="61">
        <v>522</v>
      </c>
      <c r="J34" s="61">
        <v>537.9</v>
      </c>
      <c r="K34" s="61">
        <v>542.6</v>
      </c>
      <c r="L34" s="61">
        <v>547</v>
      </c>
      <c r="M34" s="61">
        <v>521</v>
      </c>
      <c r="N34" s="61">
        <v>530.6</v>
      </c>
      <c r="O34" s="61">
        <v>525.4</v>
      </c>
      <c r="P34" s="61">
        <v>522</v>
      </c>
      <c r="Q34" s="61">
        <v>532.6</v>
      </c>
      <c r="R34" s="61">
        <v>539.8</v>
      </c>
      <c r="S34" s="61">
        <v>541.6</v>
      </c>
      <c r="AI34" s="61">
        <v>90.6</v>
      </c>
    </row>
    <row r="35" s="61" customFormat="1" customHeight="1" spans="1:35">
      <c r="A35" s="65">
        <v>45962</v>
      </c>
      <c r="B35" s="61" t="s">
        <v>37</v>
      </c>
      <c r="C35" s="61">
        <v>142.2</v>
      </c>
      <c r="D35" s="61">
        <v>96.5</v>
      </c>
      <c r="E35" s="61">
        <v>530.3</v>
      </c>
      <c r="F35" s="61">
        <v>517</v>
      </c>
      <c r="G35" s="61">
        <v>513.6</v>
      </c>
      <c r="H35" s="61">
        <v>512.6</v>
      </c>
      <c r="I35" s="61">
        <v>506.4</v>
      </c>
      <c r="J35" s="61">
        <v>514.6</v>
      </c>
      <c r="K35" s="61">
        <v>499.3</v>
      </c>
      <c r="L35" s="61">
        <v>518.1</v>
      </c>
      <c r="M35" s="61">
        <v>524.3</v>
      </c>
      <c r="N35" s="61">
        <v>510.4</v>
      </c>
      <c r="O35" s="61">
        <v>501.4</v>
      </c>
      <c r="P35" s="61">
        <v>506.6</v>
      </c>
      <c r="Q35" s="61">
        <v>510</v>
      </c>
      <c r="R35" s="61">
        <v>524.5</v>
      </c>
      <c r="S35" s="61">
        <v>554.9</v>
      </c>
      <c r="AI35" s="61">
        <v>90.65</v>
      </c>
    </row>
    <row r="36" s="61" customFormat="1" customHeight="1" spans="1:35">
      <c r="A36" s="65">
        <v>45962</v>
      </c>
      <c r="B36" s="61" t="s">
        <v>38</v>
      </c>
      <c r="C36" s="61">
        <v>142.12</v>
      </c>
      <c r="D36" s="61">
        <v>98.5</v>
      </c>
      <c r="E36" s="61">
        <v>545.8</v>
      </c>
      <c r="F36" s="61">
        <v>531.9</v>
      </c>
      <c r="G36" s="61">
        <v>527.9</v>
      </c>
      <c r="H36" s="61">
        <v>513.2</v>
      </c>
      <c r="I36" s="61">
        <v>520.6</v>
      </c>
      <c r="J36" s="61">
        <v>518.6</v>
      </c>
      <c r="K36" s="61">
        <v>508.4</v>
      </c>
      <c r="L36" s="61">
        <v>524.5</v>
      </c>
      <c r="M36" s="61">
        <v>512.1</v>
      </c>
      <c r="N36" s="61">
        <v>515.9</v>
      </c>
      <c r="O36" s="61">
        <v>525.9</v>
      </c>
      <c r="P36" s="61">
        <v>537.6</v>
      </c>
      <c r="Q36" s="61">
        <v>538.7</v>
      </c>
      <c r="R36" s="61">
        <v>542.7</v>
      </c>
      <c r="S36" s="61">
        <v>561.9</v>
      </c>
      <c r="AI36" s="61">
        <v>90.46</v>
      </c>
    </row>
    <row r="37" s="61" customFormat="1" customHeight="1" spans="1:35">
      <c r="A37" s="65">
        <v>45962</v>
      </c>
      <c r="B37" s="61" t="s">
        <v>39</v>
      </c>
      <c r="C37" s="61">
        <v>142.13</v>
      </c>
      <c r="D37" s="61">
        <v>97.8</v>
      </c>
      <c r="E37" s="61">
        <v>541.9</v>
      </c>
      <c r="F37" s="61">
        <v>522.4</v>
      </c>
      <c r="G37" s="61">
        <v>531.8</v>
      </c>
      <c r="H37" s="61">
        <v>511.8</v>
      </c>
      <c r="I37" s="61">
        <v>510.1</v>
      </c>
      <c r="J37" s="61">
        <v>529.3</v>
      </c>
      <c r="K37" s="61">
        <v>500.4</v>
      </c>
      <c r="L37" s="61">
        <v>508.3</v>
      </c>
      <c r="M37" s="61">
        <v>524.7</v>
      </c>
      <c r="N37" s="61">
        <v>517.5</v>
      </c>
      <c r="O37" s="61">
        <v>510.2</v>
      </c>
      <c r="P37" s="61">
        <v>504.6</v>
      </c>
      <c r="Q37" s="61">
        <v>514.2</v>
      </c>
      <c r="R37" s="61">
        <v>519.4</v>
      </c>
      <c r="S37" s="61">
        <v>550.8</v>
      </c>
      <c r="AI37" s="61">
        <v>91.29</v>
      </c>
    </row>
    <row r="38" s="61" customFormat="1" customHeight="1" spans="1:35">
      <c r="A38" s="65">
        <v>45962</v>
      </c>
      <c r="B38" s="61" t="s">
        <v>40</v>
      </c>
      <c r="C38" s="61">
        <v>142.04</v>
      </c>
      <c r="D38" s="61">
        <v>99</v>
      </c>
      <c r="E38" s="61">
        <v>542</v>
      </c>
      <c r="F38" s="61">
        <v>541.2</v>
      </c>
      <c r="G38" s="61">
        <v>531.4</v>
      </c>
      <c r="H38" s="61">
        <v>530.3</v>
      </c>
      <c r="I38" s="61">
        <v>518.5</v>
      </c>
      <c r="J38" s="61">
        <v>517.4</v>
      </c>
      <c r="K38" s="61">
        <v>515</v>
      </c>
      <c r="L38" s="61">
        <v>530.5</v>
      </c>
      <c r="M38" s="61">
        <v>512.8</v>
      </c>
      <c r="N38" s="61">
        <v>522.8</v>
      </c>
      <c r="O38" s="61">
        <v>529.3</v>
      </c>
      <c r="P38" s="61">
        <v>536.3</v>
      </c>
      <c r="Q38" s="61">
        <v>538.1</v>
      </c>
      <c r="R38" s="61">
        <v>544.9</v>
      </c>
      <c r="S38" s="61">
        <v>571.4</v>
      </c>
      <c r="AI38" s="61">
        <v>90.33</v>
      </c>
    </row>
    <row r="39" s="61" customFormat="1" customHeight="1" spans="1:35">
      <c r="A39" s="65">
        <v>45962</v>
      </c>
      <c r="B39" s="61" t="s">
        <v>41</v>
      </c>
      <c r="C39" s="61">
        <v>142.16</v>
      </c>
      <c r="D39" s="61">
        <v>99.6</v>
      </c>
      <c r="E39" s="61">
        <v>559.2</v>
      </c>
      <c r="F39" s="61">
        <v>550.5</v>
      </c>
      <c r="G39" s="61">
        <v>543.1</v>
      </c>
      <c r="H39" s="61">
        <v>525</v>
      </c>
      <c r="I39" s="61">
        <v>517.9</v>
      </c>
      <c r="J39" s="61">
        <v>541</v>
      </c>
      <c r="K39" s="61">
        <v>522.9</v>
      </c>
      <c r="L39" s="61">
        <v>520.6</v>
      </c>
      <c r="M39" s="61">
        <v>540.4</v>
      </c>
      <c r="N39" s="61">
        <v>531.8</v>
      </c>
      <c r="O39" s="61">
        <v>516.9</v>
      </c>
      <c r="P39" s="61">
        <v>506.7</v>
      </c>
      <c r="Q39" s="61">
        <v>512.9</v>
      </c>
      <c r="R39" s="61">
        <v>547.1</v>
      </c>
      <c r="S39" s="61">
        <v>564</v>
      </c>
      <c r="AI39" s="61">
        <v>90.6</v>
      </c>
    </row>
    <row r="40" s="61" customFormat="1" customHeight="1" spans="1:35">
      <c r="A40" s="65">
        <v>45962</v>
      </c>
      <c r="B40" s="61" t="s">
        <v>42</v>
      </c>
      <c r="C40" s="61">
        <v>142.24</v>
      </c>
      <c r="D40" s="61">
        <v>100</v>
      </c>
      <c r="E40" s="61">
        <v>553.9</v>
      </c>
      <c r="F40" s="61">
        <v>543.6</v>
      </c>
      <c r="G40" s="61">
        <v>534.3</v>
      </c>
      <c r="H40" s="61">
        <v>529.6</v>
      </c>
      <c r="I40" s="61">
        <v>518.3</v>
      </c>
      <c r="J40" s="61">
        <v>525.4</v>
      </c>
      <c r="K40" s="61">
        <v>507.3</v>
      </c>
      <c r="L40" s="61">
        <v>520</v>
      </c>
      <c r="M40" s="61">
        <v>553.8</v>
      </c>
      <c r="N40" s="61">
        <v>536.4</v>
      </c>
      <c r="O40" s="61">
        <v>524.3</v>
      </c>
      <c r="P40" s="61">
        <v>505</v>
      </c>
      <c r="Q40" s="61">
        <v>537.9</v>
      </c>
      <c r="R40" s="61">
        <v>532.8</v>
      </c>
      <c r="S40" s="61">
        <v>560</v>
      </c>
      <c r="AI40" s="61">
        <v>91.11</v>
      </c>
    </row>
    <row r="41" s="61" customFormat="1" customHeight="1" spans="1:35">
      <c r="A41" s="65">
        <v>45962</v>
      </c>
      <c r="B41" s="61" t="s">
        <v>43</v>
      </c>
      <c r="C41" s="61">
        <v>142.15</v>
      </c>
      <c r="D41" s="61">
        <v>92.8</v>
      </c>
      <c r="E41" s="61">
        <v>522.5</v>
      </c>
      <c r="F41" s="61">
        <v>485</v>
      </c>
      <c r="G41" s="61">
        <v>489.5</v>
      </c>
      <c r="H41" s="61">
        <v>482.3</v>
      </c>
      <c r="I41" s="61">
        <v>479.3</v>
      </c>
      <c r="J41" s="61">
        <v>485.3</v>
      </c>
      <c r="K41" s="61">
        <v>487.3</v>
      </c>
      <c r="L41" s="61">
        <v>484.2</v>
      </c>
      <c r="M41" s="61">
        <v>482.1</v>
      </c>
      <c r="N41" s="61">
        <v>490.4</v>
      </c>
      <c r="O41" s="61">
        <v>475.1</v>
      </c>
      <c r="P41" s="61">
        <v>485.3</v>
      </c>
      <c r="Q41" s="61">
        <v>495.8</v>
      </c>
      <c r="R41" s="61">
        <v>513.8</v>
      </c>
      <c r="S41" s="61">
        <v>533.5</v>
      </c>
      <c r="AI41" s="61">
        <v>91.37</v>
      </c>
    </row>
    <row r="42" s="61" customFormat="1" customHeight="1" spans="1:35">
      <c r="A42" s="65">
        <v>45962</v>
      </c>
      <c r="B42" s="61" t="s">
        <v>44</v>
      </c>
      <c r="C42" s="61">
        <v>142.23</v>
      </c>
      <c r="D42" s="61">
        <v>100</v>
      </c>
      <c r="E42" s="61">
        <v>568.9</v>
      </c>
      <c r="F42" s="61">
        <v>537.2</v>
      </c>
      <c r="G42" s="61">
        <v>536.2</v>
      </c>
      <c r="H42" s="61">
        <v>552.1</v>
      </c>
      <c r="I42" s="61">
        <v>524</v>
      </c>
      <c r="J42" s="61">
        <v>546.7</v>
      </c>
      <c r="K42" s="61">
        <v>515.2</v>
      </c>
      <c r="L42" s="61">
        <v>515.7</v>
      </c>
      <c r="M42" s="61">
        <v>564.4</v>
      </c>
      <c r="N42" s="61">
        <v>531.2</v>
      </c>
      <c r="O42" s="61">
        <v>535.6</v>
      </c>
      <c r="P42" s="61">
        <v>517.6</v>
      </c>
      <c r="Q42" s="61">
        <v>523.9</v>
      </c>
      <c r="R42" s="61">
        <v>541.4</v>
      </c>
      <c r="S42" s="61">
        <v>552.8</v>
      </c>
      <c r="AI42" s="61">
        <v>90.21</v>
      </c>
    </row>
    <row r="43" s="61" customFormat="1" customHeight="1" spans="1:35">
      <c r="A43" s="65">
        <v>45962</v>
      </c>
      <c r="B43" s="61" t="s">
        <v>45</v>
      </c>
      <c r="C43" s="61">
        <v>142.2</v>
      </c>
      <c r="D43" s="61">
        <v>99.5</v>
      </c>
      <c r="E43" s="61">
        <v>563</v>
      </c>
      <c r="F43" s="61">
        <v>538.8</v>
      </c>
      <c r="G43" s="61">
        <v>530.3</v>
      </c>
      <c r="H43" s="61">
        <v>537.7</v>
      </c>
      <c r="I43" s="61">
        <v>514</v>
      </c>
      <c r="J43" s="61">
        <v>543.1</v>
      </c>
      <c r="K43" s="61">
        <v>509.5</v>
      </c>
      <c r="L43" s="61">
        <v>508.5</v>
      </c>
      <c r="M43" s="61">
        <v>550.8</v>
      </c>
      <c r="N43" s="61">
        <v>533.6</v>
      </c>
      <c r="O43" s="61">
        <v>514.8</v>
      </c>
      <c r="P43" s="61">
        <v>509.6</v>
      </c>
      <c r="Q43" s="61">
        <v>523.4</v>
      </c>
      <c r="R43" s="61">
        <v>531</v>
      </c>
      <c r="S43" s="61">
        <v>546.5</v>
      </c>
      <c r="AI43" s="61">
        <v>91</v>
      </c>
    </row>
    <row r="44" s="61" customFormat="1" customHeight="1" spans="1:35">
      <c r="A44" s="65">
        <v>45962</v>
      </c>
      <c r="B44" s="61" t="s">
        <v>46</v>
      </c>
      <c r="C44" s="61">
        <v>142.03</v>
      </c>
      <c r="D44" s="61">
        <v>93.2</v>
      </c>
      <c r="E44" s="61">
        <v>534.5</v>
      </c>
      <c r="F44" s="61">
        <v>492.1</v>
      </c>
      <c r="G44" s="61">
        <v>494.2</v>
      </c>
      <c r="H44" s="61">
        <v>489.8</v>
      </c>
      <c r="I44" s="61">
        <v>483</v>
      </c>
      <c r="J44" s="61">
        <v>494.5</v>
      </c>
      <c r="K44" s="61">
        <v>487.9</v>
      </c>
      <c r="L44" s="61">
        <v>496.6</v>
      </c>
      <c r="M44" s="61">
        <v>488.3</v>
      </c>
      <c r="N44" s="61">
        <v>492.1</v>
      </c>
      <c r="O44" s="61">
        <v>489.9</v>
      </c>
      <c r="P44" s="61">
        <v>493.3</v>
      </c>
      <c r="Q44" s="61">
        <v>509.6</v>
      </c>
      <c r="R44" s="61">
        <v>525.2</v>
      </c>
      <c r="S44" s="61">
        <v>560.6</v>
      </c>
      <c r="AI44" s="61">
        <v>90.13</v>
      </c>
    </row>
    <row r="45" s="61" customFormat="1" customHeight="1" spans="1:35">
      <c r="A45" s="65">
        <v>45962</v>
      </c>
      <c r="B45" s="61" t="s">
        <v>47</v>
      </c>
      <c r="C45" s="61">
        <v>142.12</v>
      </c>
      <c r="D45" s="61">
        <v>94.8</v>
      </c>
      <c r="E45" s="61">
        <v>531.9</v>
      </c>
      <c r="F45" s="61">
        <v>506.7</v>
      </c>
      <c r="G45" s="61">
        <v>501.3</v>
      </c>
      <c r="H45" s="61">
        <v>482.2</v>
      </c>
      <c r="I45" s="61">
        <v>491.3</v>
      </c>
      <c r="J45" s="61">
        <v>506.2</v>
      </c>
      <c r="K45" s="61">
        <v>484.4</v>
      </c>
      <c r="L45" s="61">
        <v>494.3</v>
      </c>
      <c r="M45" s="61">
        <v>495.8</v>
      </c>
      <c r="N45" s="61">
        <v>505.1</v>
      </c>
      <c r="O45" s="61">
        <v>491.3</v>
      </c>
      <c r="P45" s="61">
        <v>532.1</v>
      </c>
      <c r="Q45" s="61">
        <v>513.5</v>
      </c>
      <c r="R45" s="61">
        <v>520.8</v>
      </c>
      <c r="S45" s="61">
        <v>547.2</v>
      </c>
      <c r="AI45" s="61">
        <v>90.75</v>
      </c>
    </row>
    <row r="46" s="61" customFormat="1" customHeight="1" spans="1:35">
      <c r="A46" s="65">
        <v>45962</v>
      </c>
      <c r="B46" s="61" t="s">
        <v>48</v>
      </c>
      <c r="C46" s="61">
        <v>142.21</v>
      </c>
      <c r="D46" s="61">
        <v>98.5</v>
      </c>
      <c r="E46" s="61">
        <v>558.5</v>
      </c>
      <c r="F46" s="61">
        <v>529</v>
      </c>
      <c r="G46" s="61">
        <v>531.8</v>
      </c>
      <c r="H46" s="61">
        <v>535.9</v>
      </c>
      <c r="I46" s="61">
        <v>525.4</v>
      </c>
      <c r="J46" s="61">
        <v>540.9</v>
      </c>
      <c r="K46" s="61">
        <v>508.1</v>
      </c>
      <c r="L46" s="61">
        <v>507.8</v>
      </c>
      <c r="M46" s="61">
        <v>546.5</v>
      </c>
      <c r="N46" s="61">
        <v>526.9</v>
      </c>
      <c r="O46" s="61">
        <v>514.6</v>
      </c>
      <c r="P46" s="61">
        <v>505.8</v>
      </c>
      <c r="Q46" s="61">
        <v>530.3</v>
      </c>
      <c r="R46" s="61">
        <v>529.9</v>
      </c>
      <c r="S46" s="61">
        <v>550.2</v>
      </c>
      <c r="AI46" s="61">
        <v>90.22</v>
      </c>
    </row>
    <row r="47" s="61" customFormat="1" customHeight="1" spans="1:35">
      <c r="A47" s="65">
        <v>45962</v>
      </c>
      <c r="B47" s="61" t="s">
        <v>49</v>
      </c>
      <c r="C47" s="61">
        <v>142.24</v>
      </c>
      <c r="D47" s="61">
        <v>100</v>
      </c>
      <c r="E47" s="61">
        <v>562.5</v>
      </c>
      <c r="F47" s="61">
        <v>520.9</v>
      </c>
      <c r="G47" s="61">
        <v>524.6</v>
      </c>
      <c r="H47" s="61">
        <v>537.4</v>
      </c>
      <c r="I47" s="61">
        <v>531.1</v>
      </c>
      <c r="J47" s="61">
        <v>548</v>
      </c>
      <c r="K47" s="61">
        <v>507.6</v>
      </c>
      <c r="L47" s="61">
        <v>522.4</v>
      </c>
      <c r="M47" s="61">
        <v>541.7</v>
      </c>
      <c r="N47" s="61">
        <v>530.9</v>
      </c>
      <c r="O47" s="61">
        <v>519</v>
      </c>
      <c r="P47" s="61">
        <v>509.4</v>
      </c>
      <c r="Q47" s="61">
        <v>542.8</v>
      </c>
      <c r="R47" s="61">
        <v>533</v>
      </c>
      <c r="S47" s="61">
        <v>552.3</v>
      </c>
      <c r="AI47" s="61">
        <v>91.1</v>
      </c>
    </row>
    <row r="48" s="61" customFormat="1" customHeight="1" spans="1:35">
      <c r="A48" s="65">
        <v>45962</v>
      </c>
      <c r="B48" s="61" t="s">
        <v>50</v>
      </c>
      <c r="C48" s="61">
        <v>142.1</v>
      </c>
      <c r="D48" s="61">
        <v>119.6</v>
      </c>
      <c r="E48" s="61">
        <v>529.7</v>
      </c>
      <c r="F48" s="61">
        <v>494.4</v>
      </c>
      <c r="G48" s="61">
        <v>506.3</v>
      </c>
      <c r="H48" s="61">
        <v>500.7</v>
      </c>
      <c r="I48" s="61">
        <v>496.2</v>
      </c>
      <c r="J48" s="61">
        <v>492.3</v>
      </c>
      <c r="K48" s="61">
        <v>495.1</v>
      </c>
      <c r="L48" s="61">
        <v>506.2</v>
      </c>
      <c r="M48" s="61">
        <v>509.2</v>
      </c>
      <c r="N48" s="61">
        <v>490.4</v>
      </c>
      <c r="O48" s="61">
        <v>483.4</v>
      </c>
      <c r="P48" s="61">
        <v>485.8</v>
      </c>
      <c r="Q48" s="61">
        <v>495.1</v>
      </c>
      <c r="R48" s="61">
        <v>518.6</v>
      </c>
      <c r="S48" s="61">
        <v>559.2</v>
      </c>
      <c r="AI48" s="61">
        <v>115.13</v>
      </c>
    </row>
    <row r="49" s="61" customFormat="1" customHeight="1" spans="1:35">
      <c r="A49" s="65">
        <v>45962</v>
      </c>
      <c r="B49" s="61" t="s">
        <v>51</v>
      </c>
      <c r="C49" s="61">
        <v>142.24</v>
      </c>
      <c r="D49" s="61">
        <v>94.4</v>
      </c>
      <c r="E49" s="61">
        <v>509.4</v>
      </c>
      <c r="F49" s="61">
        <v>492.3</v>
      </c>
      <c r="G49" s="61">
        <v>502.3</v>
      </c>
      <c r="H49" s="61">
        <v>507.8</v>
      </c>
      <c r="I49" s="61">
        <v>506.5</v>
      </c>
      <c r="J49" s="61">
        <v>489.3</v>
      </c>
      <c r="K49" s="61">
        <v>493.5</v>
      </c>
      <c r="L49" s="61">
        <v>509.6</v>
      </c>
      <c r="M49" s="61">
        <v>510.4</v>
      </c>
      <c r="N49" s="61">
        <v>510.4</v>
      </c>
      <c r="O49" s="61">
        <v>488.1</v>
      </c>
      <c r="P49" s="61">
        <v>481.6</v>
      </c>
      <c r="Q49" s="61">
        <v>498</v>
      </c>
      <c r="R49" s="61">
        <v>515.1</v>
      </c>
      <c r="S49" s="61">
        <v>528.4</v>
      </c>
      <c r="AI49" s="61">
        <v>91.02</v>
      </c>
    </row>
    <row r="50" s="61" customFormat="1" customHeight="1" spans="1:35">
      <c r="A50" s="65">
        <v>45962</v>
      </c>
      <c r="B50" s="61" t="s">
        <v>52</v>
      </c>
      <c r="C50" s="61">
        <v>142.27</v>
      </c>
      <c r="D50" s="61">
        <v>100</v>
      </c>
      <c r="E50" s="61">
        <v>558.2</v>
      </c>
      <c r="F50" s="61">
        <v>534.9</v>
      </c>
      <c r="G50" s="61">
        <v>527.1</v>
      </c>
      <c r="H50" s="61">
        <v>522.5</v>
      </c>
      <c r="I50" s="61">
        <v>540.2</v>
      </c>
      <c r="J50" s="61">
        <v>544.1</v>
      </c>
      <c r="K50" s="61">
        <v>517.6</v>
      </c>
      <c r="L50" s="61">
        <v>538</v>
      </c>
      <c r="M50" s="61">
        <v>555.2</v>
      </c>
      <c r="N50" s="61">
        <v>549.4</v>
      </c>
      <c r="O50" s="61">
        <v>520.8</v>
      </c>
      <c r="P50" s="61">
        <v>514</v>
      </c>
      <c r="Q50" s="61">
        <v>530.8</v>
      </c>
      <c r="R50" s="61">
        <v>539.6</v>
      </c>
      <c r="S50" s="61">
        <v>558.8</v>
      </c>
      <c r="AI50" s="61">
        <v>90.31</v>
      </c>
    </row>
    <row r="51" s="32" customFormat="1" customHeight="1" spans="1:35">
      <c r="A51" s="31">
        <v>45962</v>
      </c>
      <c r="B51" s="32" t="s">
        <v>53</v>
      </c>
      <c r="C51" s="32">
        <v>142.24</v>
      </c>
      <c r="D51" s="32">
        <v>100</v>
      </c>
      <c r="E51" s="32">
        <v>567.9</v>
      </c>
      <c r="F51" s="32">
        <v>531.5</v>
      </c>
      <c r="G51" s="32">
        <v>526.6</v>
      </c>
      <c r="H51" s="32">
        <v>523.6</v>
      </c>
      <c r="I51" s="32">
        <v>518.1</v>
      </c>
      <c r="J51" s="32">
        <v>559.9</v>
      </c>
      <c r="K51" s="32">
        <v>522.3</v>
      </c>
      <c r="L51" s="32">
        <v>544.7</v>
      </c>
      <c r="M51" s="32">
        <v>550.9</v>
      </c>
      <c r="N51" s="32">
        <v>538.6</v>
      </c>
      <c r="O51" s="32">
        <v>522.1</v>
      </c>
      <c r="P51" s="32">
        <v>519.5</v>
      </c>
      <c r="Q51" s="32">
        <v>518.2</v>
      </c>
      <c r="R51" s="32">
        <v>538.1</v>
      </c>
      <c r="S51" s="32">
        <v>555.4</v>
      </c>
      <c r="AI51" s="32">
        <v>90.49</v>
      </c>
    </row>
    <row r="52" s="62" customFormat="1" customHeight="1" spans="1:35">
      <c r="A52" s="66">
        <v>45962</v>
      </c>
      <c r="B52" s="62" t="s">
        <v>54</v>
      </c>
      <c r="C52" s="62">
        <v>142.27</v>
      </c>
      <c r="D52" s="62">
        <v>96.2</v>
      </c>
      <c r="E52" s="62">
        <v>533.5</v>
      </c>
      <c r="F52" s="62">
        <v>509.1</v>
      </c>
      <c r="G52" s="62">
        <v>520.9</v>
      </c>
      <c r="H52" s="62">
        <v>515.1</v>
      </c>
      <c r="I52" s="62">
        <v>503.2</v>
      </c>
      <c r="J52" s="62">
        <v>516.8</v>
      </c>
      <c r="K52" s="62">
        <v>496</v>
      </c>
      <c r="L52" s="62">
        <v>503.9</v>
      </c>
      <c r="M52" s="62">
        <v>514.7</v>
      </c>
      <c r="N52" s="62">
        <v>507.6</v>
      </c>
      <c r="O52" s="62">
        <v>497.3</v>
      </c>
      <c r="P52" s="62">
        <v>504.7</v>
      </c>
      <c r="Q52" s="62">
        <v>500.8</v>
      </c>
      <c r="R52" s="62">
        <v>509</v>
      </c>
      <c r="S52" s="62">
        <v>539</v>
      </c>
      <c r="AI52" s="62">
        <v>91.18</v>
      </c>
    </row>
    <row r="53" s="62" customFormat="1" customHeight="1" spans="1:35">
      <c r="A53" s="66">
        <v>45962</v>
      </c>
      <c r="B53" s="62" t="s">
        <v>55</v>
      </c>
      <c r="C53" s="62">
        <v>142.22</v>
      </c>
      <c r="D53" s="62">
        <v>96.8</v>
      </c>
      <c r="E53" s="62">
        <v>534.3</v>
      </c>
      <c r="F53" s="62">
        <v>520.7</v>
      </c>
      <c r="G53" s="62">
        <v>520.4</v>
      </c>
      <c r="H53" s="62">
        <v>524.7</v>
      </c>
      <c r="I53" s="62">
        <v>506</v>
      </c>
      <c r="J53" s="62">
        <v>502.5</v>
      </c>
      <c r="K53" s="62">
        <v>499.1</v>
      </c>
      <c r="L53" s="62">
        <v>511.7</v>
      </c>
      <c r="M53" s="62">
        <v>514.3</v>
      </c>
      <c r="N53" s="62">
        <v>504.9</v>
      </c>
      <c r="O53" s="62">
        <v>494</v>
      </c>
      <c r="P53" s="62">
        <v>499.5</v>
      </c>
      <c r="Q53" s="62">
        <v>513.9</v>
      </c>
      <c r="R53" s="62">
        <v>523.9</v>
      </c>
      <c r="S53" s="62">
        <v>548.8</v>
      </c>
      <c r="AI53" s="62">
        <v>91.22</v>
      </c>
    </row>
    <row r="54" s="62" customFormat="1" customHeight="1" spans="1:35">
      <c r="A54" s="66">
        <v>45962</v>
      </c>
      <c r="B54" s="62" t="s">
        <v>56</v>
      </c>
      <c r="C54" s="62">
        <v>142.14</v>
      </c>
      <c r="D54" s="62">
        <v>100</v>
      </c>
      <c r="E54" s="62">
        <v>566.1</v>
      </c>
      <c r="F54" s="62">
        <v>543.3</v>
      </c>
      <c r="G54" s="62">
        <v>527.5</v>
      </c>
      <c r="H54" s="62">
        <v>522.2</v>
      </c>
      <c r="I54" s="62">
        <v>522.6</v>
      </c>
      <c r="J54" s="62">
        <v>551.3</v>
      </c>
      <c r="K54" s="62">
        <v>528</v>
      </c>
      <c r="L54" s="62">
        <v>539.2</v>
      </c>
      <c r="M54" s="62">
        <v>563.2</v>
      </c>
      <c r="N54" s="62">
        <v>540</v>
      </c>
      <c r="O54" s="62">
        <v>524.7</v>
      </c>
      <c r="P54" s="62">
        <v>530.7</v>
      </c>
      <c r="Q54" s="62">
        <v>519.9</v>
      </c>
      <c r="R54" s="62">
        <v>532.5</v>
      </c>
      <c r="S54" s="62">
        <v>559.8</v>
      </c>
      <c r="AI54" s="62">
        <v>90.17</v>
      </c>
    </row>
    <row r="55" s="62" customFormat="1" customHeight="1" spans="1:35">
      <c r="A55" s="66">
        <v>45962</v>
      </c>
      <c r="B55" s="62" t="s">
        <v>57</v>
      </c>
      <c r="C55" s="62">
        <v>142.13</v>
      </c>
      <c r="D55" s="62">
        <v>97.7</v>
      </c>
      <c r="E55" s="62">
        <v>444.2</v>
      </c>
      <c r="F55" s="62">
        <v>417.1</v>
      </c>
      <c r="G55" s="62">
        <v>417.6</v>
      </c>
      <c r="H55" s="62">
        <v>410.9</v>
      </c>
      <c r="I55" s="62">
        <v>409.4</v>
      </c>
      <c r="J55" s="62">
        <v>433.6</v>
      </c>
      <c r="K55" s="62">
        <v>419.4</v>
      </c>
      <c r="L55" s="62">
        <v>418.2</v>
      </c>
      <c r="M55" s="62">
        <v>431.9</v>
      </c>
      <c r="N55" s="62">
        <v>423.7</v>
      </c>
      <c r="O55" s="62">
        <v>409.7</v>
      </c>
      <c r="P55" s="62">
        <v>414</v>
      </c>
      <c r="Q55" s="62">
        <v>408.8</v>
      </c>
      <c r="R55" s="62">
        <v>417.1</v>
      </c>
      <c r="S55" s="62">
        <v>437.3</v>
      </c>
      <c r="AI55" s="62">
        <v>112.64</v>
      </c>
    </row>
    <row r="56" s="62" customFormat="1" customHeight="1" spans="1:35">
      <c r="A56" s="66">
        <v>45962</v>
      </c>
      <c r="B56" s="62" t="s">
        <v>58</v>
      </c>
      <c r="C56" s="62">
        <v>142.22</v>
      </c>
      <c r="D56" s="62">
        <v>98.7</v>
      </c>
      <c r="E56" s="62">
        <v>520.7</v>
      </c>
      <c r="F56" s="62">
        <v>506.4</v>
      </c>
      <c r="G56" s="62">
        <v>528.2</v>
      </c>
      <c r="H56" s="62">
        <v>516.7</v>
      </c>
      <c r="I56" s="62">
        <v>500.9</v>
      </c>
      <c r="J56" s="62">
        <v>502.3</v>
      </c>
      <c r="K56" s="62">
        <v>495.2</v>
      </c>
      <c r="L56" s="62">
        <v>507.4</v>
      </c>
      <c r="M56" s="62">
        <v>511.1</v>
      </c>
      <c r="N56" s="62">
        <v>500.3</v>
      </c>
      <c r="O56" s="62">
        <v>494.4</v>
      </c>
      <c r="P56" s="62">
        <v>499.4</v>
      </c>
      <c r="Q56" s="62">
        <v>502.7</v>
      </c>
      <c r="R56" s="62">
        <v>513.6</v>
      </c>
      <c r="S56" s="62">
        <v>538</v>
      </c>
      <c r="AI56" s="62">
        <v>94</v>
      </c>
    </row>
    <row r="57" s="32" customFormat="1" customHeight="1" spans="1:35">
      <c r="A57" s="31">
        <v>45962</v>
      </c>
      <c r="B57" s="32" t="s">
        <v>59</v>
      </c>
      <c r="C57" s="32">
        <v>142.2</v>
      </c>
      <c r="D57" s="32">
        <v>94.9</v>
      </c>
      <c r="E57" s="32">
        <v>552.9</v>
      </c>
      <c r="F57" s="32">
        <v>507.3</v>
      </c>
      <c r="G57" s="32">
        <v>515.8</v>
      </c>
      <c r="H57" s="32">
        <v>505.9</v>
      </c>
      <c r="I57" s="32">
        <v>502</v>
      </c>
      <c r="J57" s="32">
        <v>525.2</v>
      </c>
      <c r="K57" s="32">
        <v>519</v>
      </c>
      <c r="L57" s="32">
        <v>522.8</v>
      </c>
      <c r="M57" s="32">
        <v>540.6</v>
      </c>
      <c r="N57" s="32">
        <v>526.8</v>
      </c>
      <c r="O57" s="32">
        <v>502</v>
      </c>
      <c r="P57" s="32">
        <v>501.7</v>
      </c>
      <c r="Q57" s="32">
        <v>506.6</v>
      </c>
      <c r="R57" s="32">
        <v>508</v>
      </c>
      <c r="S57" s="32">
        <v>541.6</v>
      </c>
      <c r="AI57" s="32">
        <v>88.76</v>
      </c>
    </row>
    <row r="58" s="63" customFormat="1" customHeight="1" spans="1:35">
      <c r="A58" s="67">
        <v>45962</v>
      </c>
      <c r="B58" s="63" t="s">
        <v>60</v>
      </c>
      <c r="C58" s="63">
        <v>142.25</v>
      </c>
      <c r="D58" s="63">
        <v>97</v>
      </c>
      <c r="E58" s="63">
        <v>529.2</v>
      </c>
      <c r="F58" s="63">
        <v>510.4</v>
      </c>
      <c r="G58" s="63">
        <v>510.2</v>
      </c>
      <c r="H58" s="63">
        <v>512.6</v>
      </c>
      <c r="I58" s="63">
        <v>510.4</v>
      </c>
      <c r="J58" s="63">
        <v>507.6</v>
      </c>
      <c r="K58" s="63">
        <v>498.7</v>
      </c>
      <c r="L58" s="63">
        <v>507.7</v>
      </c>
      <c r="M58" s="63">
        <v>515.4</v>
      </c>
      <c r="N58" s="63">
        <v>513.3</v>
      </c>
      <c r="O58" s="63">
        <v>498.7</v>
      </c>
      <c r="P58" s="63">
        <v>499.9</v>
      </c>
      <c r="Q58" s="63">
        <v>511.4</v>
      </c>
      <c r="R58" s="63">
        <v>519.8</v>
      </c>
      <c r="S58" s="63">
        <v>554.2</v>
      </c>
      <c r="AI58" s="63">
        <v>91.62</v>
      </c>
    </row>
    <row r="59" s="63" customFormat="1" customHeight="1" spans="1:35">
      <c r="A59" s="67">
        <v>45962</v>
      </c>
      <c r="B59" s="63" t="s">
        <v>61</v>
      </c>
      <c r="C59" s="63">
        <v>142.21</v>
      </c>
      <c r="D59" s="63">
        <v>100.4</v>
      </c>
      <c r="E59" s="63">
        <v>559.3</v>
      </c>
      <c r="F59" s="63">
        <v>525.7</v>
      </c>
      <c r="G59" s="63">
        <v>514.1</v>
      </c>
      <c r="H59" s="63">
        <v>506.9</v>
      </c>
      <c r="I59" s="63">
        <v>519.6</v>
      </c>
      <c r="J59" s="63">
        <v>530</v>
      </c>
      <c r="K59" s="63">
        <v>521.3</v>
      </c>
      <c r="L59" s="63">
        <v>509.6</v>
      </c>
      <c r="M59" s="63">
        <v>514.5</v>
      </c>
      <c r="N59" s="63">
        <v>516.6</v>
      </c>
      <c r="O59" s="63">
        <v>510.6</v>
      </c>
      <c r="P59" s="63">
        <v>513</v>
      </c>
      <c r="Q59" s="63">
        <v>537.1</v>
      </c>
      <c r="R59" s="63">
        <v>523.4</v>
      </c>
      <c r="S59" s="63">
        <v>548</v>
      </c>
      <c r="AI59" s="63">
        <v>93.04</v>
      </c>
    </row>
    <row r="60" s="63" customFormat="1" customHeight="1" spans="1:35">
      <c r="A60" s="67">
        <v>45962</v>
      </c>
      <c r="B60" s="63" t="s">
        <v>62</v>
      </c>
      <c r="C60" s="63">
        <v>142.24</v>
      </c>
      <c r="D60" s="63">
        <v>98.1</v>
      </c>
      <c r="E60" s="63">
        <v>547.2</v>
      </c>
      <c r="F60" s="63">
        <v>538.4</v>
      </c>
      <c r="G60" s="63">
        <v>535.9</v>
      </c>
      <c r="H60" s="63">
        <v>516.7</v>
      </c>
      <c r="I60" s="63">
        <v>503.3</v>
      </c>
      <c r="J60" s="63">
        <v>523.6</v>
      </c>
      <c r="K60" s="63">
        <v>501.8</v>
      </c>
      <c r="L60" s="63">
        <v>509.5</v>
      </c>
      <c r="M60" s="63">
        <v>543.2</v>
      </c>
      <c r="N60" s="63">
        <v>519.5</v>
      </c>
      <c r="O60" s="63">
        <v>515.5</v>
      </c>
      <c r="P60" s="63">
        <v>499</v>
      </c>
      <c r="Q60" s="63">
        <v>504.4</v>
      </c>
      <c r="R60" s="63">
        <v>522.8</v>
      </c>
      <c r="S60" s="63">
        <v>544.5</v>
      </c>
      <c r="AI60" s="63">
        <v>91.17</v>
      </c>
    </row>
    <row r="61" s="63" customFormat="1" customHeight="1" spans="1:35">
      <c r="A61" s="67">
        <v>45962</v>
      </c>
      <c r="B61" s="63" t="s">
        <v>63</v>
      </c>
      <c r="C61" s="63">
        <v>142.24</v>
      </c>
      <c r="D61" s="63">
        <v>93.1</v>
      </c>
      <c r="E61" s="63">
        <v>506.7</v>
      </c>
      <c r="F61" s="63">
        <v>483.9</v>
      </c>
      <c r="G61" s="63">
        <v>507.2</v>
      </c>
      <c r="H61" s="63">
        <v>496.7</v>
      </c>
      <c r="I61" s="63">
        <v>488</v>
      </c>
      <c r="J61" s="63">
        <v>487.9</v>
      </c>
      <c r="K61" s="63">
        <v>492.4</v>
      </c>
      <c r="L61" s="63">
        <v>492.2</v>
      </c>
      <c r="M61" s="63">
        <v>491.1</v>
      </c>
      <c r="N61" s="63">
        <v>478.6</v>
      </c>
      <c r="O61" s="63">
        <v>470.1</v>
      </c>
      <c r="P61" s="63">
        <v>471.4</v>
      </c>
      <c r="Q61" s="63">
        <v>485.4</v>
      </c>
      <c r="R61" s="63">
        <v>494.2</v>
      </c>
      <c r="S61" s="63">
        <v>532.4</v>
      </c>
      <c r="AI61" s="63">
        <v>91.77</v>
      </c>
    </row>
    <row r="62" s="63" customFormat="1" customHeight="1" spans="1:35">
      <c r="A62" s="67">
        <v>45962</v>
      </c>
      <c r="B62" s="63" t="s">
        <v>64</v>
      </c>
      <c r="C62" s="63">
        <v>142.22</v>
      </c>
      <c r="D62" s="63">
        <v>100</v>
      </c>
      <c r="E62" s="63">
        <v>553.5</v>
      </c>
      <c r="F62" s="63">
        <v>536.3</v>
      </c>
      <c r="G62" s="63">
        <v>534.2</v>
      </c>
      <c r="H62" s="63">
        <v>542.3</v>
      </c>
      <c r="I62" s="63">
        <v>525.9</v>
      </c>
      <c r="J62" s="63">
        <v>541</v>
      </c>
      <c r="K62" s="63">
        <v>507.6</v>
      </c>
      <c r="L62" s="63">
        <v>512.1</v>
      </c>
      <c r="M62" s="63">
        <v>556.7</v>
      </c>
      <c r="N62" s="63">
        <v>528.3</v>
      </c>
      <c r="O62" s="63">
        <v>533.1</v>
      </c>
      <c r="P62" s="63">
        <v>512.8</v>
      </c>
      <c r="Q62" s="63">
        <v>520.9</v>
      </c>
      <c r="R62" s="63">
        <v>537.8</v>
      </c>
      <c r="S62" s="63">
        <v>550.1</v>
      </c>
      <c r="AI62" s="63">
        <v>91.01</v>
      </c>
    </row>
    <row r="63" s="63" customFormat="1" customHeight="1" spans="1:35">
      <c r="A63" s="67">
        <v>45962</v>
      </c>
      <c r="B63" s="63" t="s">
        <v>65</v>
      </c>
      <c r="C63" s="63">
        <v>142.2</v>
      </c>
      <c r="D63" s="63">
        <v>99</v>
      </c>
      <c r="E63" s="63">
        <v>563.3</v>
      </c>
      <c r="F63" s="63">
        <v>531.2</v>
      </c>
      <c r="G63" s="63">
        <v>526.5</v>
      </c>
      <c r="H63" s="63">
        <v>522</v>
      </c>
      <c r="I63" s="63">
        <v>518.7</v>
      </c>
      <c r="J63" s="63">
        <v>544.7</v>
      </c>
      <c r="K63" s="63">
        <v>526</v>
      </c>
      <c r="L63" s="63">
        <v>536.3</v>
      </c>
      <c r="M63" s="63">
        <v>556.4</v>
      </c>
      <c r="N63" s="63">
        <v>533.6</v>
      </c>
      <c r="O63" s="63">
        <v>523.4</v>
      </c>
      <c r="P63" s="63">
        <v>528.4</v>
      </c>
      <c r="Q63" s="63">
        <v>520.1</v>
      </c>
      <c r="R63" s="63">
        <v>529.8</v>
      </c>
      <c r="S63" s="63">
        <v>555.4</v>
      </c>
      <c r="AI63" s="63">
        <v>89.85</v>
      </c>
    </row>
    <row r="64" s="63" customFormat="1" customHeight="1" spans="1:35">
      <c r="A64" s="67">
        <v>45962</v>
      </c>
      <c r="B64" s="63" t="s">
        <v>66</v>
      </c>
      <c r="C64" s="63">
        <v>142.24</v>
      </c>
      <c r="D64" s="63">
        <v>98.5</v>
      </c>
      <c r="E64" s="63">
        <v>553.8</v>
      </c>
      <c r="F64" s="63">
        <v>525.9</v>
      </c>
      <c r="G64" s="63">
        <v>527.3</v>
      </c>
      <c r="H64" s="63">
        <v>534.5</v>
      </c>
      <c r="I64" s="63">
        <v>525.7</v>
      </c>
      <c r="J64" s="63">
        <v>538.9</v>
      </c>
      <c r="K64" s="63">
        <v>506.3</v>
      </c>
      <c r="L64" s="63">
        <v>508.5</v>
      </c>
      <c r="M64" s="63">
        <v>538</v>
      </c>
      <c r="N64" s="63">
        <v>530</v>
      </c>
      <c r="O64" s="63">
        <v>513.6</v>
      </c>
      <c r="P64" s="63">
        <v>504.3</v>
      </c>
      <c r="Q64" s="63">
        <v>522.4</v>
      </c>
      <c r="R64" s="63">
        <v>527.7</v>
      </c>
      <c r="S64" s="63">
        <v>552.7</v>
      </c>
      <c r="AI64" s="63">
        <v>90.57</v>
      </c>
    </row>
    <row r="65" s="63" customFormat="1" customHeight="1" spans="1:35">
      <c r="A65" s="67">
        <v>45962</v>
      </c>
      <c r="B65" s="63" t="s">
        <v>67</v>
      </c>
      <c r="C65" s="63">
        <v>142.26</v>
      </c>
      <c r="D65" s="63">
        <v>99.2</v>
      </c>
      <c r="E65" s="63">
        <v>558.7</v>
      </c>
      <c r="F65" s="63">
        <v>528.1</v>
      </c>
      <c r="G65" s="63">
        <v>536.5</v>
      </c>
      <c r="H65" s="63">
        <v>541.7</v>
      </c>
      <c r="I65" s="63">
        <v>530.2</v>
      </c>
      <c r="J65" s="63">
        <v>548.5</v>
      </c>
      <c r="K65" s="63">
        <v>507.6</v>
      </c>
      <c r="L65" s="63">
        <v>520.1</v>
      </c>
      <c r="M65" s="63">
        <v>546.1</v>
      </c>
      <c r="N65" s="63">
        <v>528.5</v>
      </c>
      <c r="O65" s="63">
        <v>519.7</v>
      </c>
      <c r="P65" s="63">
        <v>511.7</v>
      </c>
      <c r="Q65" s="63">
        <v>533.9</v>
      </c>
      <c r="R65" s="63">
        <v>529.5</v>
      </c>
      <c r="S65" s="63">
        <v>552.8</v>
      </c>
      <c r="AI65" s="63">
        <v>90.24</v>
      </c>
    </row>
    <row r="66" s="63" customFormat="1" customHeight="1" spans="1:35">
      <c r="A66" s="67">
        <v>45962</v>
      </c>
      <c r="B66" s="63" t="s">
        <v>68</v>
      </c>
      <c r="C66" s="63">
        <v>142.23</v>
      </c>
      <c r="D66" s="63">
        <v>97.5</v>
      </c>
      <c r="E66" s="63">
        <v>551.3</v>
      </c>
      <c r="F66" s="63">
        <v>529.3</v>
      </c>
      <c r="G66" s="63">
        <v>528.7</v>
      </c>
      <c r="H66" s="63">
        <v>516.5</v>
      </c>
      <c r="I66" s="63">
        <v>513.9</v>
      </c>
      <c r="J66" s="63">
        <v>542.5</v>
      </c>
      <c r="K66" s="63">
        <v>523.6</v>
      </c>
      <c r="L66" s="63">
        <v>524.8</v>
      </c>
      <c r="M66" s="63">
        <v>546.4</v>
      </c>
      <c r="N66" s="63">
        <v>534.6</v>
      </c>
      <c r="O66" s="63">
        <v>511.9</v>
      </c>
      <c r="P66" s="63">
        <v>519</v>
      </c>
      <c r="Q66" s="63">
        <v>513.4</v>
      </c>
      <c r="R66" s="63">
        <v>528</v>
      </c>
      <c r="S66" s="63">
        <v>548.3</v>
      </c>
      <c r="AI66" s="63">
        <v>89.4</v>
      </c>
    </row>
    <row r="67" s="63" customFormat="1" customHeight="1" spans="1:35">
      <c r="A67" s="67">
        <v>45962</v>
      </c>
      <c r="B67" s="63" t="s">
        <v>69</v>
      </c>
      <c r="C67" s="63">
        <v>142.24</v>
      </c>
      <c r="D67" s="63">
        <v>99.5</v>
      </c>
      <c r="E67" s="63">
        <v>569.2</v>
      </c>
      <c r="F67" s="63">
        <v>525.1</v>
      </c>
      <c r="G67" s="63">
        <v>530.4</v>
      </c>
      <c r="H67" s="63">
        <v>523.6</v>
      </c>
      <c r="I67" s="63">
        <v>518.6</v>
      </c>
      <c r="J67" s="63">
        <v>552.6</v>
      </c>
      <c r="K67" s="63">
        <v>523.7</v>
      </c>
      <c r="L67" s="63">
        <v>543.6</v>
      </c>
      <c r="M67" s="63">
        <v>553.2</v>
      </c>
      <c r="N67" s="63">
        <v>544.2</v>
      </c>
      <c r="O67" s="63">
        <v>522.2</v>
      </c>
      <c r="P67" s="63">
        <v>524.4</v>
      </c>
      <c r="Q67" s="63">
        <v>522.6</v>
      </c>
      <c r="R67" s="63">
        <v>532</v>
      </c>
      <c r="S67" s="63">
        <v>553</v>
      </c>
      <c r="AI67" s="63">
        <v>90.02</v>
      </c>
    </row>
    <row r="68" s="63" customFormat="1" customHeight="1" spans="1:35">
      <c r="A68" s="67">
        <v>45962</v>
      </c>
      <c r="B68" s="63" t="s">
        <v>70</v>
      </c>
      <c r="C68" s="63">
        <v>142.26</v>
      </c>
      <c r="D68" s="63">
        <v>98.8</v>
      </c>
      <c r="E68" s="63">
        <v>555.7</v>
      </c>
      <c r="F68" s="63">
        <v>532.8</v>
      </c>
      <c r="G68" s="63">
        <v>526.8</v>
      </c>
      <c r="H68" s="63">
        <v>531.5</v>
      </c>
      <c r="I68" s="63">
        <v>514.6</v>
      </c>
      <c r="J68" s="63">
        <v>537.4</v>
      </c>
      <c r="K68" s="63">
        <v>506.3</v>
      </c>
      <c r="L68" s="63">
        <v>504.5</v>
      </c>
      <c r="M68" s="63">
        <v>544.1</v>
      </c>
      <c r="N68" s="63">
        <v>529.4</v>
      </c>
      <c r="O68" s="63">
        <v>515.4</v>
      </c>
      <c r="P68" s="63">
        <v>505.9</v>
      </c>
      <c r="Q68" s="63">
        <v>520.5</v>
      </c>
      <c r="R68" s="63">
        <v>527.6</v>
      </c>
      <c r="S68" s="63">
        <v>545.1</v>
      </c>
      <c r="AI68" s="63">
        <v>90.97</v>
      </c>
    </row>
    <row r="69" s="63" customFormat="1" customHeight="1" spans="1:35">
      <c r="A69" s="67">
        <v>45962</v>
      </c>
      <c r="B69" s="63" t="s">
        <v>71</v>
      </c>
      <c r="C69" s="63">
        <v>142.1</v>
      </c>
      <c r="D69" s="63">
        <v>97.8</v>
      </c>
      <c r="E69" s="63">
        <v>529.7</v>
      </c>
      <c r="F69" s="63">
        <v>520.3</v>
      </c>
      <c r="G69" s="63">
        <v>528.7</v>
      </c>
      <c r="H69" s="63">
        <v>521.7</v>
      </c>
      <c r="I69" s="63">
        <v>513.2</v>
      </c>
      <c r="J69" s="63">
        <v>509.4</v>
      </c>
      <c r="K69" s="63">
        <v>519.4</v>
      </c>
      <c r="L69" s="63">
        <v>516.8</v>
      </c>
      <c r="M69" s="63">
        <v>517</v>
      </c>
      <c r="N69" s="63">
        <v>509.8</v>
      </c>
      <c r="O69" s="63">
        <v>507</v>
      </c>
      <c r="P69" s="63">
        <v>504.8</v>
      </c>
      <c r="Q69" s="63">
        <v>507.3</v>
      </c>
      <c r="R69" s="63">
        <v>509.9</v>
      </c>
      <c r="S69" s="63">
        <v>522.5</v>
      </c>
      <c r="AI69" s="63">
        <v>92.02</v>
      </c>
    </row>
    <row r="70" s="63" customFormat="1" customHeight="1" spans="1:35">
      <c r="A70" s="67">
        <v>45962</v>
      </c>
      <c r="B70" s="63" t="s">
        <v>72</v>
      </c>
      <c r="C70" s="63">
        <v>142.26</v>
      </c>
      <c r="D70" s="63">
        <v>96.5</v>
      </c>
      <c r="E70" s="63">
        <v>559.7</v>
      </c>
      <c r="F70" s="63">
        <v>535.5</v>
      </c>
      <c r="G70" s="63">
        <v>525.3</v>
      </c>
      <c r="H70" s="63">
        <v>526</v>
      </c>
      <c r="I70" s="63">
        <v>540.1</v>
      </c>
      <c r="J70" s="63">
        <v>540.1</v>
      </c>
      <c r="K70" s="63">
        <v>522.4</v>
      </c>
      <c r="L70" s="63">
        <v>533.9</v>
      </c>
      <c r="M70" s="63">
        <v>548.8</v>
      </c>
      <c r="N70" s="63">
        <v>530.5</v>
      </c>
      <c r="O70" s="63">
        <v>525.7</v>
      </c>
      <c r="P70" s="63">
        <v>513</v>
      </c>
      <c r="Q70" s="63">
        <v>531.1</v>
      </c>
      <c r="R70" s="63">
        <v>540</v>
      </c>
      <c r="S70" s="63">
        <v>560.1</v>
      </c>
      <c r="AI70" s="63">
        <v>87.36</v>
      </c>
    </row>
    <row r="71" s="63" customFormat="1" customHeight="1" spans="1:35">
      <c r="A71" s="67">
        <v>45962</v>
      </c>
      <c r="B71" s="63" t="s">
        <v>73</v>
      </c>
      <c r="C71" s="63">
        <v>142.14</v>
      </c>
      <c r="D71" s="63">
        <v>96.9</v>
      </c>
      <c r="E71" s="63">
        <v>511.2</v>
      </c>
      <c r="F71" s="63">
        <v>509.5</v>
      </c>
      <c r="G71" s="63">
        <v>491.2</v>
      </c>
      <c r="H71" s="63">
        <v>507.1</v>
      </c>
      <c r="I71" s="63">
        <v>506.8</v>
      </c>
      <c r="J71" s="63">
        <v>505.3</v>
      </c>
      <c r="K71" s="63">
        <v>506.6</v>
      </c>
      <c r="L71" s="63">
        <v>510.7</v>
      </c>
      <c r="M71" s="63">
        <v>511</v>
      </c>
      <c r="N71" s="63">
        <v>497.4</v>
      </c>
      <c r="O71" s="63">
        <v>497.8</v>
      </c>
      <c r="P71" s="63">
        <v>494.1</v>
      </c>
      <c r="Q71" s="63">
        <v>490.4</v>
      </c>
      <c r="R71" s="63">
        <v>486.5</v>
      </c>
      <c r="S71" s="63">
        <v>494</v>
      </c>
      <c r="AI71" s="63">
        <v>93.79</v>
      </c>
    </row>
    <row r="72" s="63" customFormat="1" customHeight="1" spans="1:35">
      <c r="A72" s="67">
        <v>45962</v>
      </c>
      <c r="B72" s="63" t="s">
        <v>74</v>
      </c>
      <c r="C72" s="63">
        <v>142.1</v>
      </c>
      <c r="D72" s="63">
        <v>96.6</v>
      </c>
      <c r="E72" s="63">
        <v>528.5</v>
      </c>
      <c r="F72" s="63">
        <v>534.5</v>
      </c>
      <c r="G72" s="63">
        <v>511.3</v>
      </c>
      <c r="H72" s="63">
        <v>502.6</v>
      </c>
      <c r="I72" s="63">
        <v>506.8</v>
      </c>
      <c r="J72" s="63">
        <v>516.6</v>
      </c>
      <c r="K72" s="63">
        <v>515.3</v>
      </c>
      <c r="L72" s="63">
        <v>512.8</v>
      </c>
      <c r="M72" s="63">
        <v>514.1</v>
      </c>
      <c r="N72" s="63">
        <v>504.4</v>
      </c>
      <c r="O72" s="63">
        <v>508.5</v>
      </c>
      <c r="P72" s="63">
        <v>507.5</v>
      </c>
      <c r="Q72" s="63">
        <v>506.5</v>
      </c>
      <c r="R72" s="63">
        <v>501.7</v>
      </c>
      <c r="S72" s="63">
        <v>489.3</v>
      </c>
      <c r="AI72" s="63">
        <v>91.8</v>
      </c>
    </row>
    <row r="73" s="63" customFormat="1" customHeight="1" spans="1:35">
      <c r="A73" s="67">
        <v>45962</v>
      </c>
      <c r="B73" s="63" t="s">
        <v>75</v>
      </c>
      <c r="C73" s="63">
        <v>142.1</v>
      </c>
      <c r="D73" s="63">
        <v>98.1</v>
      </c>
      <c r="E73" s="63">
        <v>519.6</v>
      </c>
      <c r="F73" s="63">
        <v>516.1</v>
      </c>
      <c r="G73" s="63">
        <v>513.7</v>
      </c>
      <c r="H73" s="63">
        <v>514.1</v>
      </c>
      <c r="I73" s="63">
        <v>519.5</v>
      </c>
      <c r="J73" s="63">
        <v>508.6</v>
      </c>
      <c r="K73" s="63">
        <v>513.9</v>
      </c>
      <c r="L73" s="63">
        <v>506.5</v>
      </c>
      <c r="M73" s="63">
        <v>509.9</v>
      </c>
      <c r="N73" s="63">
        <v>504.1</v>
      </c>
      <c r="O73" s="63">
        <v>512.2</v>
      </c>
      <c r="P73" s="63">
        <v>511.6</v>
      </c>
      <c r="Q73" s="63">
        <v>502</v>
      </c>
      <c r="R73" s="63">
        <v>506.3</v>
      </c>
      <c r="S73" s="63">
        <v>504.8</v>
      </c>
      <c r="AI73" s="63">
        <v>93.2</v>
      </c>
    </row>
    <row r="74" s="63" customFormat="1" customHeight="1" spans="1:35">
      <c r="A74" s="67">
        <v>45962</v>
      </c>
      <c r="B74" s="63" t="s">
        <v>76</v>
      </c>
      <c r="C74" s="63">
        <v>142.15</v>
      </c>
      <c r="D74" s="63">
        <v>99.3</v>
      </c>
      <c r="E74" s="63">
        <v>517.5</v>
      </c>
      <c r="F74" s="63">
        <v>527.9</v>
      </c>
      <c r="G74" s="63">
        <v>525.6</v>
      </c>
      <c r="H74" s="63">
        <v>517.6</v>
      </c>
      <c r="I74" s="63">
        <v>513.9</v>
      </c>
      <c r="J74" s="63">
        <v>513</v>
      </c>
      <c r="K74" s="63">
        <v>516.8</v>
      </c>
      <c r="L74" s="63">
        <v>504.3</v>
      </c>
      <c r="M74" s="63">
        <v>509.4</v>
      </c>
      <c r="N74" s="63">
        <v>498.8</v>
      </c>
      <c r="O74" s="63">
        <v>503.7</v>
      </c>
      <c r="P74" s="63">
        <v>511.2</v>
      </c>
      <c r="Q74" s="63">
        <v>521.1</v>
      </c>
      <c r="R74" s="63">
        <v>518.3</v>
      </c>
      <c r="S74" s="63">
        <v>514.7</v>
      </c>
      <c r="AI74" s="63">
        <v>93.68</v>
      </c>
    </row>
    <row r="75" s="63" customFormat="1" customHeight="1" spans="1:35">
      <c r="A75" s="67">
        <v>45962</v>
      </c>
      <c r="B75" s="63" t="s">
        <v>77</v>
      </c>
      <c r="C75" s="63">
        <v>142.15</v>
      </c>
      <c r="D75" s="63">
        <v>96.7</v>
      </c>
      <c r="E75" s="63">
        <v>509</v>
      </c>
      <c r="F75" s="63">
        <v>510.1</v>
      </c>
      <c r="G75" s="63">
        <v>514.4</v>
      </c>
      <c r="H75" s="63">
        <v>513.5</v>
      </c>
      <c r="I75" s="63">
        <v>520.2</v>
      </c>
      <c r="J75" s="63">
        <v>508.1</v>
      </c>
      <c r="K75" s="63">
        <v>507.9</v>
      </c>
      <c r="L75" s="63">
        <v>501.7</v>
      </c>
      <c r="M75" s="63">
        <v>503.6</v>
      </c>
      <c r="N75" s="63">
        <v>498.1</v>
      </c>
      <c r="O75" s="63">
        <v>502.5</v>
      </c>
      <c r="P75" s="63">
        <v>504.6</v>
      </c>
      <c r="Q75" s="63">
        <v>507.9</v>
      </c>
      <c r="R75" s="63">
        <v>517.1</v>
      </c>
      <c r="S75" s="63">
        <v>519.1</v>
      </c>
      <c r="AI75" s="63">
        <v>92.14</v>
      </c>
    </row>
    <row r="76" s="63" customFormat="1" customHeight="1" spans="1:35">
      <c r="A76" s="67">
        <v>45962</v>
      </c>
      <c r="B76" s="63" t="s">
        <v>78</v>
      </c>
      <c r="C76" s="63">
        <v>142.13</v>
      </c>
      <c r="D76" s="63">
        <v>96.5</v>
      </c>
      <c r="E76" s="63">
        <v>495.2</v>
      </c>
      <c r="F76" s="63">
        <v>494.9</v>
      </c>
      <c r="G76" s="63">
        <v>506.6</v>
      </c>
      <c r="H76" s="63">
        <v>505.5</v>
      </c>
      <c r="I76" s="63">
        <v>507.4</v>
      </c>
      <c r="J76" s="63">
        <v>501.9</v>
      </c>
      <c r="K76" s="63">
        <v>521.3</v>
      </c>
      <c r="L76" s="63">
        <v>484.9</v>
      </c>
      <c r="M76" s="63">
        <v>498.7</v>
      </c>
      <c r="N76" s="63">
        <v>486.2</v>
      </c>
      <c r="O76" s="63">
        <v>493.2</v>
      </c>
      <c r="P76" s="63">
        <v>495.9</v>
      </c>
      <c r="Q76" s="63">
        <v>503</v>
      </c>
      <c r="R76" s="63">
        <v>520.6</v>
      </c>
      <c r="S76" s="63">
        <v>510.1</v>
      </c>
      <c r="AI76" s="63">
        <v>93.33</v>
      </c>
    </row>
    <row r="77" s="63" customFormat="1" customHeight="1" spans="1:35">
      <c r="A77" s="67">
        <v>45962</v>
      </c>
      <c r="B77" s="63" t="s">
        <v>79</v>
      </c>
      <c r="C77" s="63">
        <v>142.14</v>
      </c>
      <c r="D77" s="63">
        <v>95.8</v>
      </c>
      <c r="E77" s="63">
        <v>489.8</v>
      </c>
      <c r="F77" s="63">
        <v>515.4</v>
      </c>
      <c r="G77" s="63">
        <v>527.4</v>
      </c>
      <c r="H77" s="63">
        <v>510.4</v>
      </c>
      <c r="I77" s="63">
        <v>506.1</v>
      </c>
      <c r="J77" s="63">
        <v>505.6</v>
      </c>
      <c r="K77" s="63">
        <v>497.3</v>
      </c>
      <c r="L77" s="63">
        <v>493.9</v>
      </c>
      <c r="M77" s="63">
        <v>495.8</v>
      </c>
      <c r="N77" s="63">
        <v>491.5</v>
      </c>
      <c r="O77" s="63">
        <v>498.8</v>
      </c>
      <c r="P77" s="63">
        <v>499.9</v>
      </c>
      <c r="Q77" s="63">
        <v>520.7</v>
      </c>
      <c r="R77" s="63">
        <v>536.1</v>
      </c>
      <c r="S77" s="63">
        <v>524.4</v>
      </c>
      <c r="AI77" s="63">
        <v>91.58</v>
      </c>
    </row>
    <row r="78" s="63" customFormat="1" customHeight="1" spans="1:35">
      <c r="A78" s="67">
        <v>45962</v>
      </c>
      <c r="B78" s="63" t="s">
        <v>80</v>
      </c>
      <c r="C78" s="63">
        <v>142.04</v>
      </c>
      <c r="D78" s="63">
        <v>100.7</v>
      </c>
      <c r="E78" s="63">
        <v>549.1</v>
      </c>
      <c r="F78" s="63">
        <v>550.3</v>
      </c>
      <c r="G78" s="63">
        <v>529.5</v>
      </c>
      <c r="H78" s="63">
        <v>524.2</v>
      </c>
      <c r="I78" s="63">
        <v>526.7</v>
      </c>
      <c r="J78" s="63">
        <v>527.6</v>
      </c>
      <c r="K78" s="63">
        <v>519</v>
      </c>
      <c r="L78" s="63">
        <v>527.8</v>
      </c>
      <c r="M78" s="63">
        <v>525.4</v>
      </c>
      <c r="N78" s="63">
        <v>525.2</v>
      </c>
      <c r="O78" s="63">
        <v>520.6</v>
      </c>
      <c r="P78" s="63">
        <v>534.5</v>
      </c>
      <c r="Q78" s="63">
        <v>520.4</v>
      </c>
      <c r="R78" s="63">
        <v>513.4</v>
      </c>
      <c r="S78" s="63">
        <v>530.3</v>
      </c>
      <c r="AI78" s="63">
        <v>92.55</v>
      </c>
    </row>
    <row r="79" s="63" customFormat="1" customHeight="1" spans="1:35">
      <c r="A79" s="67">
        <v>45962</v>
      </c>
      <c r="B79" s="63" t="s">
        <v>81</v>
      </c>
      <c r="C79" s="63">
        <v>142.17</v>
      </c>
      <c r="D79" s="63">
        <v>98.7</v>
      </c>
      <c r="E79" s="63">
        <v>504.9</v>
      </c>
      <c r="F79" s="63">
        <v>520.2</v>
      </c>
      <c r="G79" s="63">
        <v>527</v>
      </c>
      <c r="H79" s="63">
        <v>515.7</v>
      </c>
      <c r="I79" s="63">
        <v>510.8</v>
      </c>
      <c r="J79" s="63">
        <v>514.9</v>
      </c>
      <c r="K79" s="63">
        <v>493.7</v>
      </c>
      <c r="L79" s="63">
        <v>496.5</v>
      </c>
      <c r="M79" s="63">
        <v>496.8</v>
      </c>
      <c r="N79" s="63">
        <v>498.5</v>
      </c>
      <c r="O79" s="63">
        <v>503.6</v>
      </c>
      <c r="P79" s="63">
        <v>507.6</v>
      </c>
      <c r="Q79" s="63">
        <v>526.4</v>
      </c>
      <c r="R79" s="63">
        <v>541.8</v>
      </c>
      <c r="S79" s="63">
        <v>543.6</v>
      </c>
      <c r="AI79" s="63">
        <v>93.25</v>
      </c>
    </row>
    <row r="80" s="63" customFormat="1" customHeight="1" spans="1:35">
      <c r="A80" s="67">
        <v>45962</v>
      </c>
      <c r="B80" s="63" t="s">
        <v>82</v>
      </c>
      <c r="C80" s="63">
        <v>142.07</v>
      </c>
      <c r="D80" s="63">
        <v>97</v>
      </c>
      <c r="E80" s="63">
        <v>516.4</v>
      </c>
      <c r="F80" s="63">
        <v>533.3</v>
      </c>
      <c r="G80" s="63">
        <v>504.5</v>
      </c>
      <c r="H80" s="63">
        <v>518.1</v>
      </c>
      <c r="I80" s="63">
        <v>506.4</v>
      </c>
      <c r="J80" s="63">
        <v>521</v>
      </c>
      <c r="K80" s="63">
        <v>510</v>
      </c>
      <c r="L80" s="63">
        <v>507.1</v>
      </c>
      <c r="M80" s="63">
        <v>513.3</v>
      </c>
      <c r="N80" s="63">
        <v>497.6</v>
      </c>
      <c r="O80" s="63">
        <v>499.1</v>
      </c>
      <c r="P80" s="63">
        <v>503.4</v>
      </c>
      <c r="Q80" s="63">
        <v>500.8</v>
      </c>
      <c r="R80" s="63">
        <v>497.9</v>
      </c>
      <c r="S80" s="63">
        <v>491.8</v>
      </c>
      <c r="AI80" s="63">
        <v>92.68</v>
      </c>
    </row>
    <row r="81" s="63" customFormat="1" customHeight="1" spans="1:35">
      <c r="A81" s="67">
        <v>45962</v>
      </c>
      <c r="B81" s="63" t="s">
        <v>83</v>
      </c>
      <c r="C81" s="63">
        <v>142.14</v>
      </c>
      <c r="D81" s="63">
        <v>96.8</v>
      </c>
      <c r="E81" s="63">
        <v>489.2</v>
      </c>
      <c r="F81" s="63">
        <v>518.8</v>
      </c>
      <c r="G81" s="63">
        <v>504.4</v>
      </c>
      <c r="H81" s="63">
        <v>513.6</v>
      </c>
      <c r="I81" s="63">
        <v>508.8</v>
      </c>
      <c r="J81" s="63">
        <v>504.9</v>
      </c>
      <c r="K81" s="63">
        <v>499.8</v>
      </c>
      <c r="L81" s="63">
        <v>494.4</v>
      </c>
      <c r="M81" s="63">
        <v>496.4</v>
      </c>
      <c r="N81" s="63">
        <v>499.2</v>
      </c>
      <c r="O81" s="63">
        <v>535.5</v>
      </c>
      <c r="P81" s="63">
        <v>494.9</v>
      </c>
      <c r="Q81" s="63">
        <v>509.4</v>
      </c>
      <c r="R81" s="63">
        <v>532.6</v>
      </c>
      <c r="S81" s="63">
        <v>526.2</v>
      </c>
      <c r="AI81" s="63">
        <v>92.36</v>
      </c>
    </row>
    <row r="82" s="63" customFormat="1" customHeight="1" spans="1:35">
      <c r="A82" s="67">
        <v>45962</v>
      </c>
      <c r="B82" s="63" t="s">
        <v>84</v>
      </c>
      <c r="C82" s="63">
        <v>142.06</v>
      </c>
      <c r="D82" s="63">
        <v>97</v>
      </c>
      <c r="E82" s="63">
        <v>534.5</v>
      </c>
      <c r="F82" s="63">
        <v>531.9</v>
      </c>
      <c r="G82" s="63">
        <v>528.7</v>
      </c>
      <c r="H82" s="63">
        <v>515.6</v>
      </c>
      <c r="I82" s="63">
        <v>515.7</v>
      </c>
      <c r="J82" s="63">
        <v>519.4</v>
      </c>
      <c r="K82" s="63">
        <v>522.2</v>
      </c>
      <c r="L82" s="63">
        <v>516.7</v>
      </c>
      <c r="M82" s="63">
        <v>514.3</v>
      </c>
      <c r="N82" s="63">
        <v>503</v>
      </c>
      <c r="O82" s="63">
        <v>505</v>
      </c>
      <c r="P82" s="63">
        <v>503.2</v>
      </c>
      <c r="Q82" s="63">
        <v>506.2</v>
      </c>
      <c r="R82" s="63">
        <v>503.8</v>
      </c>
      <c r="S82" s="63">
        <v>513.9</v>
      </c>
      <c r="AI82" s="63">
        <v>91.33</v>
      </c>
    </row>
    <row r="83" s="63" customFormat="1" customHeight="1" spans="1:35">
      <c r="A83" s="67">
        <v>45962</v>
      </c>
      <c r="B83" s="63" t="s">
        <v>85</v>
      </c>
      <c r="C83" s="63">
        <v>142.13</v>
      </c>
      <c r="D83" s="63">
        <v>98</v>
      </c>
      <c r="E83" s="63">
        <v>504.8</v>
      </c>
      <c r="F83" s="63">
        <v>530.5</v>
      </c>
      <c r="G83" s="63">
        <v>520.5</v>
      </c>
      <c r="H83" s="63">
        <v>508.2</v>
      </c>
      <c r="I83" s="63">
        <v>507.8</v>
      </c>
      <c r="J83" s="63">
        <v>505.1</v>
      </c>
      <c r="K83" s="63">
        <v>488.7</v>
      </c>
      <c r="L83" s="63">
        <v>493.4</v>
      </c>
      <c r="M83" s="63">
        <v>491.4</v>
      </c>
      <c r="N83" s="63">
        <v>496.7</v>
      </c>
      <c r="O83" s="63">
        <v>503.3</v>
      </c>
      <c r="P83" s="63">
        <v>494</v>
      </c>
      <c r="Q83" s="63">
        <v>504.5</v>
      </c>
      <c r="R83" s="63">
        <v>527.5</v>
      </c>
      <c r="S83" s="63">
        <v>519.9</v>
      </c>
      <c r="AI83" s="63">
        <v>93.9</v>
      </c>
    </row>
    <row r="84" s="63" customFormat="1" customHeight="1" spans="1:35">
      <c r="A84" s="67">
        <v>45962</v>
      </c>
      <c r="B84" s="63" t="s">
        <v>86</v>
      </c>
      <c r="C84" s="63">
        <v>142.13</v>
      </c>
      <c r="D84" s="63">
        <v>99.1</v>
      </c>
      <c r="E84" s="63">
        <v>520</v>
      </c>
      <c r="F84" s="63">
        <v>514.7</v>
      </c>
      <c r="G84" s="63">
        <v>540.2</v>
      </c>
      <c r="H84" s="63">
        <v>515.8</v>
      </c>
      <c r="I84" s="63">
        <v>513.8</v>
      </c>
      <c r="J84" s="63">
        <v>511.5</v>
      </c>
      <c r="K84" s="63">
        <v>498.5</v>
      </c>
      <c r="L84" s="63">
        <v>501.3</v>
      </c>
      <c r="M84" s="63">
        <v>508.5</v>
      </c>
      <c r="N84" s="63">
        <v>513.9</v>
      </c>
      <c r="O84" s="63">
        <v>511.4</v>
      </c>
      <c r="P84" s="63">
        <v>521.8</v>
      </c>
      <c r="Q84" s="63">
        <v>519.5</v>
      </c>
      <c r="R84" s="63">
        <v>538.6</v>
      </c>
      <c r="S84" s="63">
        <v>533.5</v>
      </c>
      <c r="AI84" s="63">
        <v>92.91</v>
      </c>
    </row>
    <row r="85" s="63" customFormat="1" customHeight="1" spans="1:35">
      <c r="A85" s="67">
        <v>45962</v>
      </c>
      <c r="B85" s="63" t="s">
        <v>87</v>
      </c>
      <c r="C85" s="63">
        <v>142.11</v>
      </c>
      <c r="D85" s="63">
        <v>98.6</v>
      </c>
      <c r="E85" s="63">
        <v>520.5</v>
      </c>
      <c r="F85" s="63">
        <v>520.1</v>
      </c>
      <c r="G85" s="63">
        <v>509.5</v>
      </c>
      <c r="H85" s="63">
        <v>515</v>
      </c>
      <c r="I85" s="63">
        <v>506.6</v>
      </c>
      <c r="J85" s="63">
        <v>517.8</v>
      </c>
      <c r="K85" s="63">
        <v>518.1</v>
      </c>
      <c r="L85" s="63">
        <v>508.3</v>
      </c>
      <c r="M85" s="63">
        <v>510.4</v>
      </c>
      <c r="N85" s="63">
        <v>507.7</v>
      </c>
      <c r="O85" s="63">
        <v>544.7</v>
      </c>
      <c r="P85" s="63">
        <v>511.3</v>
      </c>
      <c r="Q85" s="63">
        <v>510.3</v>
      </c>
      <c r="R85" s="63">
        <v>498.9</v>
      </c>
      <c r="S85" s="63">
        <v>495.6</v>
      </c>
      <c r="AI85" s="63">
        <v>93.28</v>
      </c>
    </row>
    <row r="86" s="63" customFormat="1" customHeight="1" spans="1:35">
      <c r="A86" s="67">
        <v>45962</v>
      </c>
      <c r="B86" s="63" t="s">
        <v>88</v>
      </c>
      <c r="C86" s="63">
        <v>142.14</v>
      </c>
      <c r="D86" s="63">
        <v>99</v>
      </c>
      <c r="E86" s="63">
        <v>512.5</v>
      </c>
      <c r="F86" s="63">
        <v>527.3</v>
      </c>
      <c r="G86" s="63">
        <v>519.9</v>
      </c>
      <c r="H86" s="63">
        <v>513.1</v>
      </c>
      <c r="I86" s="63">
        <v>510.7</v>
      </c>
      <c r="J86" s="63">
        <v>510.9</v>
      </c>
      <c r="K86" s="63">
        <v>510.8</v>
      </c>
      <c r="L86" s="63">
        <v>510.5</v>
      </c>
      <c r="M86" s="63">
        <v>507.7</v>
      </c>
      <c r="N86" s="63">
        <v>500.1</v>
      </c>
      <c r="O86" s="63">
        <v>509.3</v>
      </c>
      <c r="P86" s="63">
        <v>503.7</v>
      </c>
      <c r="Q86" s="63">
        <v>510.1</v>
      </c>
      <c r="R86" s="63">
        <v>517.1</v>
      </c>
      <c r="S86" s="63">
        <v>521.2</v>
      </c>
      <c r="AI86" s="63">
        <v>93.76</v>
      </c>
    </row>
    <row r="87" s="63" customFormat="1" customHeight="1" spans="1:35">
      <c r="A87" s="67">
        <v>45962</v>
      </c>
      <c r="B87" s="63" t="s">
        <v>89</v>
      </c>
      <c r="C87" s="63">
        <v>142.13</v>
      </c>
      <c r="D87" s="63">
        <v>100</v>
      </c>
      <c r="E87" s="63">
        <v>518</v>
      </c>
      <c r="F87" s="63">
        <v>533</v>
      </c>
      <c r="G87" s="63">
        <v>517</v>
      </c>
      <c r="H87" s="63">
        <v>510.3</v>
      </c>
      <c r="I87" s="63">
        <v>523.1</v>
      </c>
      <c r="J87" s="63">
        <v>525.9</v>
      </c>
      <c r="K87" s="63">
        <v>502.2</v>
      </c>
      <c r="L87" s="63">
        <v>502.8</v>
      </c>
      <c r="M87" s="63">
        <v>511</v>
      </c>
      <c r="N87" s="63">
        <v>523.7</v>
      </c>
      <c r="O87" s="63">
        <v>517.9</v>
      </c>
      <c r="P87" s="63">
        <v>521.6</v>
      </c>
      <c r="Q87" s="63">
        <v>528</v>
      </c>
      <c r="R87" s="63">
        <v>539.8</v>
      </c>
      <c r="S87" s="63">
        <v>537.6</v>
      </c>
      <c r="AI87" s="63">
        <v>93.17</v>
      </c>
    </row>
    <row r="88" s="63" customFormat="1" customHeight="1" spans="1:35">
      <c r="A88" s="67">
        <v>45962</v>
      </c>
      <c r="B88" s="63" t="s">
        <v>90</v>
      </c>
      <c r="C88" s="63">
        <v>142.1</v>
      </c>
      <c r="D88" s="63">
        <v>98.9</v>
      </c>
      <c r="E88" s="63">
        <v>523.4</v>
      </c>
      <c r="F88" s="63">
        <v>527.7</v>
      </c>
      <c r="G88" s="63">
        <v>518.7</v>
      </c>
      <c r="H88" s="63">
        <v>523.4</v>
      </c>
      <c r="I88" s="63">
        <v>515.2</v>
      </c>
      <c r="J88" s="63">
        <v>513.8</v>
      </c>
      <c r="K88" s="63">
        <v>524.4</v>
      </c>
      <c r="L88" s="63">
        <v>506.2</v>
      </c>
      <c r="M88" s="63">
        <v>520.3</v>
      </c>
      <c r="N88" s="63">
        <v>504.1</v>
      </c>
      <c r="O88" s="63">
        <v>512.1</v>
      </c>
      <c r="P88" s="63">
        <v>512.4</v>
      </c>
      <c r="Q88" s="63">
        <v>517.8</v>
      </c>
      <c r="R88" s="63">
        <v>521.6</v>
      </c>
      <c r="S88" s="63">
        <v>516.6</v>
      </c>
      <c r="AI88" s="63">
        <v>92.81</v>
      </c>
    </row>
    <row r="89" s="63" customFormat="1" customHeight="1" spans="1:35">
      <c r="A89" s="67">
        <v>45962</v>
      </c>
      <c r="B89" s="63" t="s">
        <v>91</v>
      </c>
      <c r="C89" s="63">
        <v>142.12</v>
      </c>
      <c r="D89" s="63">
        <v>98</v>
      </c>
      <c r="E89" s="63">
        <v>513</v>
      </c>
      <c r="F89" s="63">
        <v>515.1</v>
      </c>
      <c r="G89" s="63">
        <v>517.9</v>
      </c>
      <c r="H89" s="63">
        <v>508.8</v>
      </c>
      <c r="I89" s="63">
        <v>504</v>
      </c>
      <c r="J89" s="63">
        <v>509.3</v>
      </c>
      <c r="K89" s="63">
        <v>500.9</v>
      </c>
      <c r="L89" s="63">
        <v>504.2</v>
      </c>
      <c r="M89" s="63">
        <v>506.3</v>
      </c>
      <c r="N89" s="63">
        <v>511.9</v>
      </c>
      <c r="O89" s="63">
        <v>509.6</v>
      </c>
      <c r="P89" s="63">
        <v>511.9</v>
      </c>
      <c r="Q89" s="63">
        <v>519.8</v>
      </c>
      <c r="R89" s="63">
        <v>518.8</v>
      </c>
      <c r="S89" s="63">
        <v>522.2</v>
      </c>
      <c r="AI89" s="63">
        <v>92.96</v>
      </c>
    </row>
    <row r="90" s="63" customFormat="1" customHeight="1" spans="1:35">
      <c r="A90" s="67">
        <v>45962</v>
      </c>
      <c r="B90" s="63" t="s">
        <v>92</v>
      </c>
      <c r="C90" s="63">
        <v>142.13</v>
      </c>
      <c r="D90" s="63">
        <v>97.5</v>
      </c>
      <c r="E90" s="63">
        <v>519</v>
      </c>
      <c r="F90" s="63">
        <v>515.1</v>
      </c>
      <c r="G90" s="63">
        <v>525</v>
      </c>
      <c r="H90" s="63">
        <v>516.7</v>
      </c>
      <c r="I90" s="63">
        <v>524.1</v>
      </c>
      <c r="J90" s="63">
        <v>510</v>
      </c>
      <c r="K90" s="63">
        <v>517.6</v>
      </c>
      <c r="L90" s="63">
        <v>502.6</v>
      </c>
      <c r="M90" s="63">
        <v>516.6</v>
      </c>
      <c r="N90" s="63">
        <v>507.2</v>
      </c>
      <c r="O90" s="63">
        <v>510.7</v>
      </c>
      <c r="P90" s="63">
        <v>509.3</v>
      </c>
      <c r="Q90" s="63">
        <v>503.4</v>
      </c>
      <c r="R90" s="63">
        <v>510.6</v>
      </c>
      <c r="S90" s="63">
        <v>510.5</v>
      </c>
      <c r="AI90" s="63">
        <v>92.18</v>
      </c>
    </row>
    <row r="91" s="63" customFormat="1" customHeight="1" spans="1:35">
      <c r="A91" s="67">
        <v>45962</v>
      </c>
      <c r="B91" s="63" t="s">
        <v>93</v>
      </c>
      <c r="C91" s="63">
        <v>142.15</v>
      </c>
      <c r="D91" s="63">
        <v>94.2</v>
      </c>
      <c r="E91" s="63">
        <v>492.1</v>
      </c>
      <c r="F91" s="63">
        <v>507.8</v>
      </c>
      <c r="G91" s="63">
        <v>501.5</v>
      </c>
      <c r="H91" s="63">
        <v>492.8</v>
      </c>
      <c r="I91" s="63">
        <v>504.8</v>
      </c>
      <c r="J91" s="63">
        <v>490.7</v>
      </c>
      <c r="K91" s="63">
        <v>492.4</v>
      </c>
      <c r="L91" s="63">
        <v>483.6</v>
      </c>
      <c r="M91" s="63">
        <v>484.4</v>
      </c>
      <c r="N91" s="63">
        <v>479.8</v>
      </c>
      <c r="O91" s="63">
        <v>490.5</v>
      </c>
      <c r="P91" s="63">
        <v>485.9</v>
      </c>
      <c r="Q91" s="63">
        <v>508.4</v>
      </c>
      <c r="R91" s="63">
        <v>518.9</v>
      </c>
      <c r="S91" s="63">
        <v>502.3</v>
      </c>
      <c r="AI91" s="63">
        <v>92.19</v>
      </c>
    </row>
    <row r="92" s="63" customFormat="1" customHeight="1" spans="1:35">
      <c r="A92" s="67">
        <v>45962</v>
      </c>
      <c r="B92" s="63" t="s">
        <v>94</v>
      </c>
      <c r="C92" s="63">
        <v>142.15</v>
      </c>
      <c r="D92" s="63">
        <v>99</v>
      </c>
      <c r="E92" s="63">
        <v>530.1</v>
      </c>
      <c r="F92" s="63">
        <v>517.6</v>
      </c>
      <c r="G92" s="63">
        <v>517.6</v>
      </c>
      <c r="H92" s="63">
        <v>525.3</v>
      </c>
      <c r="I92" s="63">
        <v>512.3</v>
      </c>
      <c r="J92" s="63">
        <v>513</v>
      </c>
      <c r="K92" s="63">
        <v>504.7</v>
      </c>
      <c r="L92" s="63">
        <v>509.7</v>
      </c>
      <c r="M92" s="63">
        <v>520.7</v>
      </c>
      <c r="N92" s="63">
        <v>515.2</v>
      </c>
      <c r="O92" s="63">
        <v>522</v>
      </c>
      <c r="P92" s="63">
        <v>522.4</v>
      </c>
      <c r="Q92" s="63">
        <v>532.3</v>
      </c>
      <c r="R92" s="63">
        <v>529.2</v>
      </c>
      <c r="S92" s="63">
        <v>528.5</v>
      </c>
      <c r="AI92" s="63">
        <v>92.36</v>
      </c>
    </row>
    <row r="93" s="63" customFormat="1" customHeight="1" spans="1:35">
      <c r="A93" s="67">
        <v>45962</v>
      </c>
      <c r="B93" s="63" t="s">
        <v>95</v>
      </c>
      <c r="C93" s="63">
        <v>142.15</v>
      </c>
      <c r="D93" s="63">
        <v>95.6</v>
      </c>
      <c r="E93" s="63">
        <v>491.4</v>
      </c>
      <c r="F93" s="63">
        <v>522</v>
      </c>
      <c r="G93" s="63">
        <v>521.6</v>
      </c>
      <c r="H93" s="63">
        <v>502.7</v>
      </c>
      <c r="I93" s="63">
        <v>505.2</v>
      </c>
      <c r="J93" s="63">
        <v>504.7</v>
      </c>
      <c r="K93" s="63">
        <v>493.7</v>
      </c>
      <c r="L93" s="63">
        <v>487.4</v>
      </c>
      <c r="M93" s="63">
        <v>493.1</v>
      </c>
      <c r="N93" s="63">
        <v>494.9</v>
      </c>
      <c r="O93" s="63">
        <v>495.6</v>
      </c>
      <c r="P93" s="63">
        <v>494.2</v>
      </c>
      <c r="Q93" s="63">
        <v>498.4</v>
      </c>
      <c r="R93" s="63">
        <v>517.3</v>
      </c>
      <c r="S93" s="63">
        <v>515.7</v>
      </c>
      <c r="AI93" s="63">
        <v>92.3</v>
      </c>
    </row>
    <row r="94" s="63" customFormat="1" customHeight="1" spans="1:35">
      <c r="A94" s="67">
        <v>45962</v>
      </c>
      <c r="B94" s="63" t="s">
        <v>96</v>
      </c>
      <c r="C94" s="63">
        <v>142.16</v>
      </c>
      <c r="D94" s="63">
        <v>98.2</v>
      </c>
      <c r="E94" s="63">
        <v>547.3</v>
      </c>
      <c r="F94" s="63">
        <v>534.2</v>
      </c>
      <c r="G94" s="63">
        <v>521.2</v>
      </c>
      <c r="H94" s="63">
        <v>524.2</v>
      </c>
      <c r="I94" s="63">
        <v>518</v>
      </c>
      <c r="J94" s="63">
        <v>514.5</v>
      </c>
      <c r="K94" s="63">
        <v>511.3</v>
      </c>
      <c r="L94" s="63">
        <v>520.4</v>
      </c>
      <c r="M94" s="63">
        <v>512.2</v>
      </c>
      <c r="N94" s="63">
        <v>526.4</v>
      </c>
      <c r="O94" s="63">
        <v>520</v>
      </c>
      <c r="P94" s="63">
        <v>520.8</v>
      </c>
      <c r="Q94" s="63">
        <v>530.1</v>
      </c>
      <c r="R94" s="63">
        <v>528.4</v>
      </c>
      <c r="S94" s="63">
        <v>534</v>
      </c>
      <c r="AI94" s="63">
        <v>90.88</v>
      </c>
    </row>
    <row r="95" s="63" customFormat="1" customHeight="1" spans="1:35">
      <c r="A95" s="67">
        <v>45962</v>
      </c>
      <c r="B95" s="63" t="s">
        <v>97</v>
      </c>
      <c r="C95" s="63">
        <v>142.18</v>
      </c>
      <c r="D95" s="63">
        <v>96.9</v>
      </c>
      <c r="E95" s="63">
        <v>514.3</v>
      </c>
      <c r="F95" s="63">
        <v>525.6</v>
      </c>
      <c r="G95" s="63">
        <v>514.9</v>
      </c>
      <c r="H95" s="63">
        <v>523.4</v>
      </c>
      <c r="I95" s="63">
        <v>503.8</v>
      </c>
      <c r="J95" s="63">
        <v>513.2</v>
      </c>
      <c r="K95" s="63">
        <v>499.1</v>
      </c>
      <c r="L95" s="63">
        <v>496</v>
      </c>
      <c r="M95" s="63">
        <v>491.8</v>
      </c>
      <c r="N95" s="63">
        <v>494.2</v>
      </c>
      <c r="O95" s="63">
        <v>493</v>
      </c>
      <c r="P95" s="63">
        <v>499.4</v>
      </c>
      <c r="Q95" s="63">
        <v>519.9</v>
      </c>
      <c r="R95" s="63">
        <v>530.5</v>
      </c>
      <c r="S95" s="63">
        <v>530.6</v>
      </c>
      <c r="AI95" s="63">
        <v>92.16</v>
      </c>
    </row>
    <row r="96" s="63" customFormat="1" customHeight="1" spans="1:35">
      <c r="A96" s="67">
        <v>45962</v>
      </c>
      <c r="B96" s="63" t="s">
        <v>98</v>
      </c>
      <c r="C96" s="63">
        <v>142.16</v>
      </c>
      <c r="D96" s="63">
        <v>97.7</v>
      </c>
      <c r="E96" s="63">
        <v>534.3</v>
      </c>
      <c r="F96" s="63">
        <v>538.6</v>
      </c>
      <c r="G96" s="63">
        <v>524.6</v>
      </c>
      <c r="H96" s="63">
        <v>527</v>
      </c>
      <c r="I96" s="63">
        <v>521.8</v>
      </c>
      <c r="J96" s="63">
        <v>522.9</v>
      </c>
      <c r="K96" s="63">
        <v>511.7</v>
      </c>
      <c r="L96" s="63">
        <v>525.3</v>
      </c>
      <c r="M96" s="63">
        <v>516.3</v>
      </c>
      <c r="N96" s="63">
        <v>524.9</v>
      </c>
      <c r="O96" s="63">
        <v>521.2</v>
      </c>
      <c r="P96" s="63">
        <v>524.1</v>
      </c>
      <c r="Q96" s="63">
        <v>536.6</v>
      </c>
      <c r="R96" s="63">
        <v>530.2</v>
      </c>
      <c r="S96" s="63">
        <v>531.2</v>
      </c>
      <c r="AI96" s="63">
        <v>90.1</v>
      </c>
    </row>
    <row r="97" s="63" customFormat="1" customHeight="1" spans="1:35">
      <c r="A97" s="67">
        <v>45962</v>
      </c>
      <c r="B97" s="63" t="s">
        <v>99</v>
      </c>
      <c r="C97" s="63">
        <v>142.17</v>
      </c>
      <c r="D97" s="63">
        <v>95.6</v>
      </c>
      <c r="E97" s="63">
        <v>505.6</v>
      </c>
      <c r="F97" s="63">
        <v>503.8</v>
      </c>
      <c r="G97" s="63">
        <v>522.3</v>
      </c>
      <c r="H97" s="63">
        <v>499.8</v>
      </c>
      <c r="I97" s="63">
        <v>509.7</v>
      </c>
      <c r="J97" s="63">
        <v>505</v>
      </c>
      <c r="K97" s="63">
        <v>497</v>
      </c>
      <c r="L97" s="63">
        <v>495.9</v>
      </c>
      <c r="M97" s="63">
        <v>499.6</v>
      </c>
      <c r="N97" s="63">
        <v>500.3</v>
      </c>
      <c r="O97" s="63">
        <v>502.6</v>
      </c>
      <c r="P97" s="63">
        <v>513.2</v>
      </c>
      <c r="Q97" s="63">
        <v>516</v>
      </c>
      <c r="R97" s="63">
        <v>519.5</v>
      </c>
      <c r="S97" s="63">
        <v>518.5</v>
      </c>
      <c r="AI97" s="63">
        <v>91.42</v>
      </c>
    </row>
    <row r="98" s="63" customFormat="1" customHeight="1" spans="1:35">
      <c r="A98" s="67">
        <v>45962</v>
      </c>
      <c r="B98" s="63" t="s">
        <v>100</v>
      </c>
      <c r="C98" s="63">
        <v>142.15</v>
      </c>
      <c r="D98" s="63">
        <v>99.1</v>
      </c>
      <c r="E98" s="63">
        <v>536.7</v>
      </c>
      <c r="F98" s="63">
        <v>527.9</v>
      </c>
      <c r="G98" s="63">
        <v>526.2</v>
      </c>
      <c r="H98" s="63">
        <v>520.2</v>
      </c>
      <c r="I98" s="63">
        <v>511.8</v>
      </c>
      <c r="J98" s="63">
        <v>529.8</v>
      </c>
      <c r="K98" s="63">
        <v>512.3</v>
      </c>
      <c r="L98" s="63">
        <v>520.7</v>
      </c>
      <c r="M98" s="63">
        <v>517.7</v>
      </c>
      <c r="N98" s="63">
        <v>520.7</v>
      </c>
      <c r="O98" s="63">
        <v>517.3</v>
      </c>
      <c r="P98" s="63">
        <v>525.9</v>
      </c>
      <c r="Q98" s="63">
        <v>540.6</v>
      </c>
      <c r="R98" s="63">
        <v>543.2</v>
      </c>
      <c r="S98" s="63">
        <v>524.5</v>
      </c>
      <c r="AI98" s="63">
        <v>91.57</v>
      </c>
    </row>
    <row r="99" s="63" customFormat="1" customHeight="1" spans="1:35">
      <c r="A99" s="67">
        <v>45962</v>
      </c>
      <c r="B99" s="63" t="s">
        <v>101</v>
      </c>
      <c r="C99" s="63">
        <v>142.17</v>
      </c>
      <c r="D99" s="63">
        <v>97.9</v>
      </c>
      <c r="E99" s="63">
        <v>501.6</v>
      </c>
      <c r="F99" s="63">
        <v>523.7</v>
      </c>
      <c r="G99" s="63">
        <v>522.6</v>
      </c>
      <c r="H99" s="63">
        <v>519.3</v>
      </c>
      <c r="I99" s="63">
        <v>540.6</v>
      </c>
      <c r="J99" s="63">
        <v>518.2</v>
      </c>
      <c r="K99" s="63">
        <v>504.2</v>
      </c>
      <c r="L99" s="63">
        <v>496.5</v>
      </c>
      <c r="M99" s="63">
        <v>502.7</v>
      </c>
      <c r="N99" s="63">
        <v>502.6</v>
      </c>
      <c r="O99" s="63">
        <v>506.3</v>
      </c>
      <c r="P99" s="63">
        <v>508</v>
      </c>
      <c r="Q99" s="63">
        <v>531.7</v>
      </c>
      <c r="R99" s="63">
        <v>542.4</v>
      </c>
      <c r="S99" s="63">
        <v>538.8</v>
      </c>
      <c r="AI99" s="63">
        <v>91.81</v>
      </c>
    </row>
    <row r="100" s="63" customFormat="1" customHeight="1" spans="1:35">
      <c r="A100" s="67">
        <v>45962</v>
      </c>
      <c r="B100" s="63" t="s">
        <v>102</v>
      </c>
      <c r="C100" s="63">
        <v>142.16</v>
      </c>
      <c r="D100" s="63">
        <v>100</v>
      </c>
      <c r="E100" s="63">
        <v>539.2</v>
      </c>
      <c r="F100" s="63">
        <v>536.9</v>
      </c>
      <c r="G100" s="63">
        <v>531.7</v>
      </c>
      <c r="H100" s="63">
        <v>523.1</v>
      </c>
      <c r="I100" s="63">
        <v>525.8</v>
      </c>
      <c r="J100" s="63">
        <v>524.1</v>
      </c>
      <c r="K100" s="63">
        <v>508.9</v>
      </c>
      <c r="L100" s="63">
        <v>517.9</v>
      </c>
      <c r="M100" s="63">
        <v>524.5</v>
      </c>
      <c r="N100" s="63">
        <v>538.6</v>
      </c>
      <c r="O100" s="63">
        <v>528.2</v>
      </c>
      <c r="P100" s="63">
        <v>520.6</v>
      </c>
      <c r="Q100" s="63">
        <v>540.7</v>
      </c>
      <c r="R100" s="63">
        <v>546.5</v>
      </c>
      <c r="S100" s="63">
        <v>522.4</v>
      </c>
      <c r="AI100" s="63">
        <v>91.77</v>
      </c>
    </row>
    <row r="101" s="63" customFormat="1" customHeight="1" spans="1:35">
      <c r="A101" s="67">
        <v>45962</v>
      </c>
      <c r="B101" s="63" t="s">
        <v>103</v>
      </c>
      <c r="C101" s="63">
        <v>142.22</v>
      </c>
      <c r="D101" s="63">
        <v>95.8</v>
      </c>
      <c r="E101" s="63">
        <v>525.3</v>
      </c>
      <c r="F101" s="63">
        <v>520.1</v>
      </c>
      <c r="G101" s="63">
        <v>514.8</v>
      </c>
      <c r="H101" s="63">
        <v>510</v>
      </c>
      <c r="I101" s="63">
        <v>506.8</v>
      </c>
      <c r="J101" s="63">
        <v>508.9</v>
      </c>
      <c r="K101" s="63">
        <v>497.8</v>
      </c>
      <c r="L101" s="63">
        <v>505.1</v>
      </c>
      <c r="M101" s="63">
        <v>508.2</v>
      </c>
      <c r="N101" s="63">
        <v>511.8</v>
      </c>
      <c r="O101" s="63">
        <v>509</v>
      </c>
      <c r="P101" s="63">
        <v>502.1</v>
      </c>
      <c r="Q101" s="63">
        <v>529.3</v>
      </c>
      <c r="R101" s="63">
        <v>523.3</v>
      </c>
      <c r="S101" s="63">
        <v>514.2</v>
      </c>
      <c r="AI101" s="63">
        <v>90.65</v>
      </c>
    </row>
    <row r="102" s="63" customFormat="1" customHeight="1" spans="1:35">
      <c r="A102" s="67">
        <v>45962</v>
      </c>
      <c r="B102" s="63" t="s">
        <v>104</v>
      </c>
      <c r="C102" s="63">
        <v>142.12</v>
      </c>
      <c r="D102" s="63">
        <v>98.6</v>
      </c>
      <c r="E102" s="63">
        <v>547.6</v>
      </c>
      <c r="F102" s="63">
        <v>527.4</v>
      </c>
      <c r="G102" s="63">
        <v>516.5</v>
      </c>
      <c r="H102" s="63">
        <v>520.6</v>
      </c>
      <c r="I102" s="63">
        <v>510.3</v>
      </c>
      <c r="J102" s="63">
        <v>519.2</v>
      </c>
      <c r="K102" s="63">
        <v>510.4</v>
      </c>
      <c r="L102" s="63">
        <v>517.1</v>
      </c>
      <c r="M102" s="63">
        <v>515</v>
      </c>
      <c r="N102" s="63">
        <v>516.1</v>
      </c>
      <c r="O102" s="63">
        <v>515.2</v>
      </c>
      <c r="P102" s="63">
        <v>533.3</v>
      </c>
      <c r="Q102" s="63">
        <v>547.5</v>
      </c>
      <c r="R102" s="63">
        <v>540.3</v>
      </c>
      <c r="S102" s="63">
        <v>528.5</v>
      </c>
      <c r="AI102" s="63">
        <v>91.25</v>
      </c>
    </row>
    <row r="103" s="63" customFormat="1" customHeight="1" spans="1:35">
      <c r="A103" s="67">
        <v>45962</v>
      </c>
      <c r="B103" s="63" t="s">
        <v>105</v>
      </c>
      <c r="C103" s="63">
        <v>142.16</v>
      </c>
      <c r="D103" s="63">
        <v>98.5</v>
      </c>
      <c r="E103" s="63">
        <v>521.5</v>
      </c>
      <c r="F103" s="63">
        <v>530</v>
      </c>
      <c r="G103" s="63">
        <v>527.3</v>
      </c>
      <c r="H103" s="63">
        <v>511.7</v>
      </c>
      <c r="I103" s="63">
        <v>514.6</v>
      </c>
      <c r="J103" s="63">
        <v>517.2</v>
      </c>
      <c r="K103" s="63">
        <v>505.3</v>
      </c>
      <c r="L103" s="63">
        <v>508.9</v>
      </c>
      <c r="M103" s="63">
        <v>511.2</v>
      </c>
      <c r="N103" s="63">
        <v>520.9</v>
      </c>
      <c r="O103" s="63">
        <v>517.2</v>
      </c>
      <c r="P103" s="63">
        <v>525</v>
      </c>
      <c r="Q103" s="63">
        <v>532</v>
      </c>
      <c r="R103" s="63">
        <v>539.9</v>
      </c>
      <c r="S103" s="63">
        <v>534.7</v>
      </c>
      <c r="AI103" s="63">
        <v>91.69</v>
      </c>
    </row>
    <row r="104" s="63" customFormat="1" customHeight="1" spans="1:35">
      <c r="A104" s="67">
        <v>45962</v>
      </c>
      <c r="B104" s="63" t="s">
        <v>106</v>
      </c>
      <c r="C104" s="63">
        <v>142.15</v>
      </c>
      <c r="D104" s="63">
        <v>96.6</v>
      </c>
      <c r="E104" s="63">
        <v>529.6</v>
      </c>
      <c r="F104" s="63">
        <v>517</v>
      </c>
      <c r="G104" s="63">
        <v>514.1</v>
      </c>
      <c r="H104" s="63">
        <v>507.6</v>
      </c>
      <c r="I104" s="63">
        <v>503.2</v>
      </c>
      <c r="J104" s="63">
        <v>505.4</v>
      </c>
      <c r="K104" s="63">
        <v>497.1</v>
      </c>
      <c r="L104" s="63">
        <v>509.3</v>
      </c>
      <c r="M104" s="63">
        <v>513.1</v>
      </c>
      <c r="N104" s="63">
        <v>510.1</v>
      </c>
      <c r="O104" s="63">
        <v>513.7</v>
      </c>
      <c r="P104" s="63">
        <v>519.5</v>
      </c>
      <c r="Q104" s="63">
        <v>535</v>
      </c>
      <c r="R104" s="63">
        <v>531.9</v>
      </c>
      <c r="S104" s="63">
        <v>519</v>
      </c>
      <c r="AI104" s="63">
        <v>91</v>
      </c>
    </row>
    <row r="105" s="63" customFormat="1" customHeight="1" spans="1:35">
      <c r="A105" s="67">
        <v>45962</v>
      </c>
      <c r="B105" s="63" t="s">
        <v>107</v>
      </c>
      <c r="C105" s="63">
        <v>142.16</v>
      </c>
      <c r="D105" s="63">
        <v>97.5</v>
      </c>
      <c r="E105" s="63">
        <v>499</v>
      </c>
      <c r="F105" s="63">
        <v>525.6</v>
      </c>
      <c r="G105" s="63">
        <v>523.7</v>
      </c>
      <c r="H105" s="63">
        <v>512.9</v>
      </c>
      <c r="I105" s="63">
        <v>512.9</v>
      </c>
      <c r="J105" s="63">
        <v>510.1</v>
      </c>
      <c r="K105" s="63">
        <v>492.7</v>
      </c>
      <c r="L105" s="63">
        <v>495</v>
      </c>
      <c r="M105" s="63">
        <v>501.8</v>
      </c>
      <c r="N105" s="63">
        <v>502.8</v>
      </c>
      <c r="O105" s="63">
        <v>501.2</v>
      </c>
      <c r="P105" s="63">
        <v>499.4</v>
      </c>
      <c r="Q105" s="63">
        <v>521.7</v>
      </c>
      <c r="R105" s="63">
        <v>529.7</v>
      </c>
      <c r="S105" s="63">
        <v>534.4</v>
      </c>
      <c r="AI105" s="63">
        <v>92.59</v>
      </c>
    </row>
    <row r="106" s="63" customFormat="1" customHeight="1" spans="1:35">
      <c r="A106" s="67">
        <v>45962</v>
      </c>
      <c r="B106" s="63" t="s">
        <v>108</v>
      </c>
      <c r="C106" s="63">
        <v>142.17</v>
      </c>
      <c r="D106" s="63">
        <v>97.7</v>
      </c>
      <c r="E106" s="63">
        <v>530.8</v>
      </c>
      <c r="F106" s="63">
        <v>520.1</v>
      </c>
      <c r="G106" s="63">
        <v>529.6</v>
      </c>
      <c r="H106" s="63">
        <v>521.9</v>
      </c>
      <c r="I106" s="63">
        <v>504.7</v>
      </c>
      <c r="J106" s="63">
        <v>519</v>
      </c>
      <c r="K106" s="63">
        <v>498.9</v>
      </c>
      <c r="L106" s="63">
        <v>507.5</v>
      </c>
      <c r="M106" s="63">
        <v>511.3</v>
      </c>
      <c r="N106" s="63">
        <v>517</v>
      </c>
      <c r="O106" s="63">
        <v>524.9</v>
      </c>
      <c r="P106" s="63">
        <v>523.5</v>
      </c>
      <c r="Q106" s="63">
        <v>543.3</v>
      </c>
      <c r="R106" s="63">
        <v>543</v>
      </c>
      <c r="S106" s="63">
        <v>518.8</v>
      </c>
      <c r="AI106" s="63">
        <v>90.97</v>
      </c>
    </row>
    <row r="107" s="63" customFormat="1" customHeight="1" spans="1:35">
      <c r="A107" s="67">
        <v>45962</v>
      </c>
      <c r="B107" s="63" t="s">
        <v>109</v>
      </c>
      <c r="C107" s="63">
        <v>142.15</v>
      </c>
      <c r="D107" s="63">
        <v>98.1</v>
      </c>
      <c r="E107" s="63">
        <v>534.3</v>
      </c>
      <c r="F107" s="63">
        <v>526.2</v>
      </c>
      <c r="G107" s="63">
        <v>522.4</v>
      </c>
      <c r="H107" s="63">
        <v>515.1</v>
      </c>
      <c r="I107" s="63">
        <v>511.9</v>
      </c>
      <c r="J107" s="63">
        <v>516.6</v>
      </c>
      <c r="K107" s="63">
        <v>503.3</v>
      </c>
      <c r="L107" s="63">
        <v>506.6</v>
      </c>
      <c r="M107" s="63">
        <v>506</v>
      </c>
      <c r="N107" s="63">
        <v>509.8</v>
      </c>
      <c r="O107" s="63">
        <v>516.5</v>
      </c>
      <c r="P107" s="63">
        <v>520.5</v>
      </c>
      <c r="Q107" s="63">
        <v>517.6</v>
      </c>
      <c r="R107" s="63">
        <v>526.1</v>
      </c>
      <c r="S107" s="63">
        <v>524.2</v>
      </c>
      <c r="AI107" s="63">
        <v>92.03</v>
      </c>
    </row>
    <row r="108" s="63" customFormat="1" customHeight="1" spans="1:35">
      <c r="A108" s="67">
        <v>45962</v>
      </c>
      <c r="B108" s="63" t="s">
        <v>110</v>
      </c>
      <c r="C108" s="63">
        <v>142.15</v>
      </c>
      <c r="D108" s="63">
        <v>100</v>
      </c>
      <c r="E108" s="63">
        <v>519.6</v>
      </c>
      <c r="F108" s="63">
        <v>510</v>
      </c>
      <c r="G108" s="63">
        <v>514.3</v>
      </c>
      <c r="H108" s="63">
        <v>506.4</v>
      </c>
      <c r="I108" s="63">
        <v>504.6</v>
      </c>
      <c r="J108" s="63">
        <v>509.6</v>
      </c>
      <c r="K108" s="63">
        <v>496.4</v>
      </c>
      <c r="L108" s="63">
        <v>510</v>
      </c>
      <c r="M108" s="63">
        <v>513.4</v>
      </c>
      <c r="N108" s="63">
        <v>517.7</v>
      </c>
      <c r="O108" s="63">
        <v>521.7</v>
      </c>
      <c r="P108" s="63">
        <v>534.5</v>
      </c>
      <c r="Q108" s="63">
        <v>534.9</v>
      </c>
      <c r="R108" s="63">
        <v>536.7</v>
      </c>
      <c r="S108" s="63">
        <v>518.9</v>
      </c>
      <c r="AI108" s="63">
        <v>93.92</v>
      </c>
    </row>
    <row r="109" s="63" customFormat="1" customHeight="1" spans="1:35">
      <c r="A109" s="67">
        <v>45962</v>
      </c>
      <c r="B109" s="63" t="s">
        <v>111</v>
      </c>
      <c r="C109" s="63">
        <v>142.14</v>
      </c>
      <c r="D109" s="63">
        <v>98</v>
      </c>
      <c r="E109" s="63">
        <v>525</v>
      </c>
      <c r="F109" s="63">
        <v>519.7</v>
      </c>
      <c r="G109" s="63">
        <v>521</v>
      </c>
      <c r="H109" s="63">
        <v>509.9</v>
      </c>
      <c r="I109" s="63">
        <v>511.8</v>
      </c>
      <c r="J109" s="63">
        <v>508.2</v>
      </c>
      <c r="K109" s="63">
        <v>503.2</v>
      </c>
      <c r="L109" s="63">
        <v>506.1</v>
      </c>
      <c r="M109" s="63">
        <v>507.5</v>
      </c>
      <c r="N109" s="63">
        <v>508</v>
      </c>
      <c r="O109" s="63">
        <v>513.2</v>
      </c>
      <c r="P109" s="63">
        <v>514.2</v>
      </c>
      <c r="Q109" s="63">
        <v>510.9</v>
      </c>
      <c r="R109" s="63">
        <v>518.5</v>
      </c>
      <c r="S109" s="63">
        <v>517.8</v>
      </c>
      <c r="AI109" s="63">
        <v>92.69</v>
      </c>
    </row>
    <row r="110" s="63" customFormat="1" customHeight="1" spans="1:35">
      <c r="A110" s="67">
        <v>45962</v>
      </c>
      <c r="B110" s="63" t="s">
        <v>112</v>
      </c>
      <c r="C110" s="63">
        <v>142.13</v>
      </c>
      <c r="D110" s="63">
        <v>98.9</v>
      </c>
      <c r="E110" s="63">
        <v>528.2</v>
      </c>
      <c r="F110" s="63">
        <v>516.8</v>
      </c>
      <c r="G110" s="63">
        <v>519.2</v>
      </c>
      <c r="H110" s="63">
        <v>518.8</v>
      </c>
      <c r="I110" s="63">
        <v>508.3</v>
      </c>
      <c r="J110" s="63">
        <v>506.9</v>
      </c>
      <c r="K110" s="63">
        <v>496.7</v>
      </c>
      <c r="L110" s="63">
        <v>504.1</v>
      </c>
      <c r="M110" s="63">
        <v>509.6</v>
      </c>
      <c r="N110" s="63">
        <v>512.1</v>
      </c>
      <c r="O110" s="63">
        <v>517.2</v>
      </c>
      <c r="P110" s="63">
        <v>529.5</v>
      </c>
      <c r="Q110" s="63">
        <v>533.8</v>
      </c>
      <c r="R110" s="63">
        <v>534</v>
      </c>
      <c r="S110" s="63">
        <v>516.1</v>
      </c>
      <c r="AI110" s="63">
        <v>92.87</v>
      </c>
    </row>
    <row r="111" s="63" customFormat="1" customHeight="1" spans="1:35">
      <c r="A111" s="67">
        <v>45962</v>
      </c>
      <c r="B111" s="63" t="s">
        <v>113</v>
      </c>
      <c r="C111" s="63">
        <v>142.19</v>
      </c>
      <c r="D111" s="63">
        <v>98.9</v>
      </c>
      <c r="E111" s="63">
        <v>542.7</v>
      </c>
      <c r="F111" s="63">
        <v>539.3</v>
      </c>
      <c r="G111" s="63">
        <v>527</v>
      </c>
      <c r="H111" s="63">
        <v>526.3</v>
      </c>
      <c r="I111" s="63">
        <v>526.1</v>
      </c>
      <c r="J111" s="63">
        <v>516.4</v>
      </c>
      <c r="K111" s="63">
        <v>513.7</v>
      </c>
      <c r="L111" s="63">
        <v>520.1</v>
      </c>
      <c r="M111" s="63">
        <v>509.8</v>
      </c>
      <c r="N111" s="63">
        <v>517.8</v>
      </c>
      <c r="O111" s="63">
        <v>517.1</v>
      </c>
      <c r="P111" s="63">
        <v>515.2</v>
      </c>
      <c r="Q111" s="63">
        <v>530.1</v>
      </c>
      <c r="R111" s="63">
        <v>528.4</v>
      </c>
      <c r="S111" s="63">
        <v>524.7</v>
      </c>
      <c r="AI111" s="63">
        <v>91.61</v>
      </c>
    </row>
    <row r="112" s="63" customFormat="1" customHeight="1" spans="1:35">
      <c r="A112" s="67">
        <v>45962</v>
      </c>
      <c r="B112" s="63" t="s">
        <v>114</v>
      </c>
      <c r="C112" s="63">
        <v>142.11</v>
      </c>
      <c r="D112" s="63">
        <v>97.1</v>
      </c>
      <c r="E112" s="63">
        <v>521.3</v>
      </c>
      <c r="F112" s="63">
        <v>507.7</v>
      </c>
      <c r="G112" s="63">
        <v>517.8</v>
      </c>
      <c r="H112" s="63">
        <v>500.4</v>
      </c>
      <c r="I112" s="63">
        <v>514.7</v>
      </c>
      <c r="J112" s="63">
        <v>507.3</v>
      </c>
      <c r="K112" s="63">
        <v>493.2</v>
      </c>
      <c r="L112" s="63">
        <v>504</v>
      </c>
      <c r="M112" s="63">
        <v>514.9</v>
      </c>
      <c r="N112" s="63">
        <v>505</v>
      </c>
      <c r="O112" s="63">
        <v>513.6</v>
      </c>
      <c r="P112" s="63">
        <v>522.4</v>
      </c>
      <c r="Q112" s="63">
        <v>526.2</v>
      </c>
      <c r="R112" s="63">
        <v>534.3</v>
      </c>
      <c r="S112" s="63">
        <v>518.5</v>
      </c>
      <c r="AI112" s="63">
        <v>91.78</v>
      </c>
    </row>
    <row r="113" s="63" customFormat="1" customHeight="1" spans="1:35">
      <c r="A113" s="67">
        <v>45962</v>
      </c>
      <c r="B113" s="63" t="s">
        <v>115</v>
      </c>
      <c r="C113" s="63">
        <v>142.11</v>
      </c>
      <c r="D113" s="63">
        <v>98.7</v>
      </c>
      <c r="E113" s="63">
        <v>522</v>
      </c>
      <c r="F113" s="63">
        <v>522.7</v>
      </c>
      <c r="G113" s="63">
        <v>523.7</v>
      </c>
      <c r="H113" s="63">
        <v>515.6</v>
      </c>
      <c r="I113" s="63">
        <v>520</v>
      </c>
      <c r="J113" s="63">
        <v>520.2</v>
      </c>
      <c r="K113" s="63">
        <v>508.7</v>
      </c>
      <c r="L113" s="63">
        <v>516.4</v>
      </c>
      <c r="M113" s="63">
        <v>523.4</v>
      </c>
      <c r="N113" s="63">
        <v>526.5</v>
      </c>
      <c r="O113" s="63">
        <v>526.3</v>
      </c>
      <c r="P113" s="63">
        <v>533.9</v>
      </c>
      <c r="Q113" s="63">
        <v>539.3</v>
      </c>
      <c r="R113" s="63">
        <v>555</v>
      </c>
      <c r="S113" s="63">
        <v>534</v>
      </c>
      <c r="AI113" s="63">
        <v>91.09</v>
      </c>
    </row>
    <row r="114" s="63" customFormat="1" customHeight="1" spans="1:35">
      <c r="A114" s="67">
        <v>45962</v>
      </c>
      <c r="B114" s="63" t="s">
        <v>116</v>
      </c>
      <c r="C114" s="63">
        <v>142.17</v>
      </c>
      <c r="D114" s="63">
        <v>98.3</v>
      </c>
      <c r="E114" s="63">
        <v>532.1</v>
      </c>
      <c r="F114" s="63">
        <v>523.6</v>
      </c>
      <c r="G114" s="63">
        <v>523.2</v>
      </c>
      <c r="H114" s="63">
        <v>518.3</v>
      </c>
      <c r="I114" s="63">
        <v>524.1</v>
      </c>
      <c r="J114" s="63">
        <v>510</v>
      </c>
      <c r="K114" s="63">
        <v>501.8</v>
      </c>
      <c r="L114" s="63">
        <v>508</v>
      </c>
      <c r="M114" s="63">
        <v>517.8</v>
      </c>
      <c r="N114" s="63">
        <v>516.3</v>
      </c>
      <c r="O114" s="63">
        <v>518</v>
      </c>
      <c r="P114" s="63">
        <v>541.6</v>
      </c>
      <c r="Q114" s="63">
        <v>528.5</v>
      </c>
      <c r="R114" s="63">
        <v>528.4</v>
      </c>
      <c r="S114" s="63">
        <v>527.2</v>
      </c>
      <c r="AI114" s="63">
        <v>91.48</v>
      </c>
    </row>
    <row r="115" s="63" customFormat="1" customHeight="1" spans="1:35">
      <c r="A115" s="67">
        <v>45962</v>
      </c>
      <c r="B115" s="63" t="s">
        <v>117</v>
      </c>
      <c r="C115" s="63">
        <v>142.03</v>
      </c>
      <c r="D115" s="63">
        <v>95.4</v>
      </c>
      <c r="E115" s="63">
        <v>508.5</v>
      </c>
      <c r="F115" s="63">
        <v>511.3</v>
      </c>
      <c r="G115" s="63">
        <v>516.9</v>
      </c>
      <c r="H115" s="63">
        <v>497.5</v>
      </c>
      <c r="I115" s="63">
        <v>501</v>
      </c>
      <c r="J115" s="63">
        <v>508.2</v>
      </c>
      <c r="K115" s="63">
        <v>495</v>
      </c>
      <c r="L115" s="63">
        <v>502.2</v>
      </c>
      <c r="M115" s="63">
        <v>506.5</v>
      </c>
      <c r="N115" s="63">
        <v>503.6</v>
      </c>
      <c r="O115" s="63">
        <v>511.1</v>
      </c>
      <c r="P115" s="63">
        <v>513.3</v>
      </c>
      <c r="Q115" s="63">
        <v>518.5</v>
      </c>
      <c r="R115" s="63">
        <v>530.9</v>
      </c>
      <c r="S115" s="63">
        <v>516.7</v>
      </c>
      <c r="AI115" s="63">
        <v>90.93</v>
      </c>
    </row>
    <row r="116" s="63" customFormat="1" customHeight="1" spans="1:35">
      <c r="A116" s="67">
        <v>45962</v>
      </c>
      <c r="B116" s="63" t="s">
        <v>118</v>
      </c>
      <c r="C116" s="63">
        <v>142.02</v>
      </c>
      <c r="D116" s="63">
        <v>96.9</v>
      </c>
      <c r="E116" s="63">
        <v>524.3</v>
      </c>
      <c r="F116" s="63">
        <v>518.5</v>
      </c>
      <c r="G116" s="63">
        <v>519.4</v>
      </c>
      <c r="H116" s="63">
        <v>524.9</v>
      </c>
      <c r="I116" s="63">
        <v>509.4</v>
      </c>
      <c r="J116" s="63">
        <v>523.6</v>
      </c>
      <c r="K116" s="63">
        <v>506.3</v>
      </c>
      <c r="L116" s="63">
        <v>513.8</v>
      </c>
      <c r="M116" s="63">
        <v>521</v>
      </c>
      <c r="N116" s="63">
        <v>518.5</v>
      </c>
      <c r="O116" s="63">
        <v>530.6</v>
      </c>
      <c r="P116" s="63">
        <v>518</v>
      </c>
      <c r="Q116" s="63">
        <v>534.7</v>
      </c>
      <c r="R116" s="63">
        <v>547.9</v>
      </c>
      <c r="S116" s="63">
        <v>545.7</v>
      </c>
      <c r="AI116" s="63">
        <v>89.84</v>
      </c>
    </row>
    <row r="117" s="63" customFormat="1" customHeight="1" spans="1:35">
      <c r="A117" s="67">
        <v>45962</v>
      </c>
      <c r="B117" s="63" t="s">
        <v>119</v>
      </c>
      <c r="C117" s="63">
        <v>141.88</v>
      </c>
      <c r="D117" s="63">
        <v>96.5</v>
      </c>
      <c r="E117" s="63">
        <v>529.8</v>
      </c>
      <c r="F117" s="63">
        <v>513.7</v>
      </c>
      <c r="G117" s="63">
        <v>513.8</v>
      </c>
      <c r="H117" s="63">
        <v>521.6</v>
      </c>
      <c r="I117" s="63">
        <v>519.1</v>
      </c>
      <c r="J117" s="63">
        <v>518.3</v>
      </c>
      <c r="K117" s="63">
        <v>515.7</v>
      </c>
      <c r="L117" s="63">
        <v>513.2</v>
      </c>
      <c r="M117" s="63">
        <v>521.2</v>
      </c>
      <c r="N117" s="63">
        <v>510.6</v>
      </c>
      <c r="O117" s="63">
        <v>511</v>
      </c>
      <c r="P117" s="63">
        <v>517.8</v>
      </c>
      <c r="Q117" s="63">
        <v>515.7</v>
      </c>
      <c r="R117" s="63">
        <v>535</v>
      </c>
      <c r="S117" s="63">
        <v>528.4</v>
      </c>
      <c r="AI117" s="63">
        <v>90.38</v>
      </c>
    </row>
    <row r="118" s="63" customFormat="1" customHeight="1" spans="1:35">
      <c r="A118" s="67">
        <v>45962</v>
      </c>
      <c r="B118" s="63" t="s">
        <v>120</v>
      </c>
      <c r="C118" s="63">
        <v>142.17</v>
      </c>
      <c r="D118" s="63">
        <v>96.9</v>
      </c>
      <c r="E118" s="63">
        <v>516.2</v>
      </c>
      <c r="F118" s="63">
        <v>513.5</v>
      </c>
      <c r="G118" s="63">
        <v>528</v>
      </c>
      <c r="H118" s="63">
        <v>510.5</v>
      </c>
      <c r="I118" s="63">
        <v>514.6</v>
      </c>
      <c r="J118" s="63">
        <v>510.8</v>
      </c>
      <c r="K118" s="63">
        <v>503</v>
      </c>
      <c r="L118" s="63">
        <v>500.1</v>
      </c>
      <c r="M118" s="63">
        <v>500.4</v>
      </c>
      <c r="N118" s="63">
        <v>508.2</v>
      </c>
      <c r="O118" s="63">
        <v>514.2</v>
      </c>
      <c r="P118" s="63">
        <v>512.9</v>
      </c>
      <c r="Q118" s="63">
        <v>517.2</v>
      </c>
      <c r="R118" s="63">
        <v>522.1</v>
      </c>
      <c r="S118" s="63">
        <v>519.4</v>
      </c>
      <c r="AI118" s="63">
        <v>91.67</v>
      </c>
    </row>
    <row r="119" s="63" customFormat="1" customHeight="1" spans="1:35">
      <c r="A119" s="67">
        <v>45962</v>
      </c>
      <c r="B119" s="63" t="s">
        <v>121</v>
      </c>
      <c r="C119" s="63">
        <v>142.15</v>
      </c>
      <c r="D119" s="63">
        <v>99.2</v>
      </c>
      <c r="E119" s="63">
        <v>534.4</v>
      </c>
      <c r="F119" s="63">
        <v>521.8</v>
      </c>
      <c r="G119" s="63">
        <v>537.9</v>
      </c>
      <c r="H119" s="63">
        <v>523.6</v>
      </c>
      <c r="I119" s="63">
        <v>521.2</v>
      </c>
      <c r="J119" s="63">
        <v>521.8</v>
      </c>
      <c r="K119" s="63">
        <v>510.6</v>
      </c>
      <c r="L119" s="63">
        <v>520.2</v>
      </c>
      <c r="M119" s="63">
        <v>509.6</v>
      </c>
      <c r="N119" s="63">
        <v>519.9</v>
      </c>
      <c r="O119" s="63">
        <v>520.2</v>
      </c>
      <c r="P119" s="63">
        <v>521.8</v>
      </c>
      <c r="Q119" s="63">
        <v>527.4</v>
      </c>
      <c r="R119" s="63">
        <v>530.5</v>
      </c>
      <c r="S119" s="63">
        <v>529.6</v>
      </c>
      <c r="AI119" s="63">
        <v>91.96</v>
      </c>
    </row>
    <row r="120" s="63" customFormat="1" customHeight="1" spans="1:35">
      <c r="A120" s="67">
        <v>45962</v>
      </c>
      <c r="B120" s="63" t="s">
        <v>122</v>
      </c>
      <c r="C120" s="63">
        <v>142.13</v>
      </c>
      <c r="D120" s="63">
        <v>99</v>
      </c>
      <c r="E120" s="63">
        <v>529</v>
      </c>
      <c r="F120" s="63">
        <v>537</v>
      </c>
      <c r="G120" s="63">
        <v>530.9</v>
      </c>
      <c r="H120" s="63">
        <v>519</v>
      </c>
      <c r="I120" s="63">
        <v>513.9</v>
      </c>
      <c r="J120" s="63">
        <v>511.9</v>
      </c>
      <c r="K120" s="63">
        <v>506.6</v>
      </c>
      <c r="L120" s="63">
        <v>520.2</v>
      </c>
      <c r="M120" s="63">
        <v>517.5</v>
      </c>
      <c r="N120" s="63">
        <v>529.8</v>
      </c>
      <c r="O120" s="63">
        <v>524.3</v>
      </c>
      <c r="P120" s="63">
        <v>521.1</v>
      </c>
      <c r="Q120" s="63">
        <v>528.9</v>
      </c>
      <c r="R120" s="63">
        <v>537.8</v>
      </c>
      <c r="S120" s="63">
        <v>519.1</v>
      </c>
      <c r="AI120" s="63">
        <v>91.83</v>
      </c>
    </row>
    <row r="121" s="63" customFormat="1" customHeight="1" spans="1:35">
      <c r="A121" s="67">
        <v>45962</v>
      </c>
      <c r="B121" s="63" t="s">
        <v>123</v>
      </c>
      <c r="C121" s="63">
        <v>142.16</v>
      </c>
      <c r="D121" s="63">
        <v>99.6</v>
      </c>
      <c r="E121" s="63">
        <v>546.8</v>
      </c>
      <c r="F121" s="63">
        <v>539.9</v>
      </c>
      <c r="G121" s="63">
        <v>526.1</v>
      </c>
      <c r="H121" s="63">
        <v>522.3</v>
      </c>
      <c r="I121" s="63">
        <v>526.1</v>
      </c>
      <c r="J121" s="63">
        <v>526</v>
      </c>
      <c r="K121" s="63">
        <v>511.6</v>
      </c>
      <c r="L121" s="63">
        <v>524.1</v>
      </c>
      <c r="M121" s="63">
        <v>521.4</v>
      </c>
      <c r="N121" s="63">
        <v>527.3</v>
      </c>
      <c r="O121" s="63">
        <v>524.4</v>
      </c>
      <c r="P121" s="63">
        <v>537.2</v>
      </c>
      <c r="Q121" s="63">
        <v>538.3</v>
      </c>
      <c r="R121" s="63">
        <v>531.1</v>
      </c>
      <c r="S121" s="63">
        <v>524.8</v>
      </c>
      <c r="AI121" s="63">
        <v>91.43</v>
      </c>
    </row>
    <row r="122" s="63" customFormat="1" customHeight="1" spans="1:35">
      <c r="A122" s="67">
        <v>45962</v>
      </c>
      <c r="B122" s="63" t="s">
        <v>124</v>
      </c>
      <c r="C122" s="63">
        <v>142.14</v>
      </c>
      <c r="D122" s="63">
        <v>99.4</v>
      </c>
      <c r="E122" s="63">
        <v>537.3</v>
      </c>
      <c r="F122" s="63">
        <v>539</v>
      </c>
      <c r="G122" s="63">
        <v>535.3</v>
      </c>
      <c r="H122" s="63">
        <v>521.8</v>
      </c>
      <c r="I122" s="63">
        <v>518.6</v>
      </c>
      <c r="J122" s="63">
        <v>520.6</v>
      </c>
      <c r="K122" s="63">
        <v>510.7</v>
      </c>
      <c r="L122" s="63">
        <v>521.9</v>
      </c>
      <c r="M122" s="63">
        <v>520</v>
      </c>
      <c r="N122" s="63">
        <v>524.7</v>
      </c>
      <c r="O122" s="63">
        <v>519</v>
      </c>
      <c r="P122" s="63">
        <v>529</v>
      </c>
      <c r="Q122" s="63">
        <v>539.6</v>
      </c>
      <c r="R122" s="63">
        <v>536</v>
      </c>
      <c r="S122" s="63">
        <v>522.7</v>
      </c>
      <c r="AI122" s="63">
        <v>91.62</v>
      </c>
    </row>
    <row r="123" s="63" customFormat="1" customHeight="1" spans="1:35">
      <c r="A123" s="67">
        <v>45962</v>
      </c>
      <c r="B123" s="63" t="s">
        <v>125</v>
      </c>
      <c r="C123" s="63">
        <v>142.16</v>
      </c>
      <c r="D123" s="63">
        <v>98.3</v>
      </c>
      <c r="E123" s="63">
        <v>533.8</v>
      </c>
      <c r="F123" s="63">
        <v>532.8</v>
      </c>
      <c r="G123" s="63">
        <v>526.4</v>
      </c>
      <c r="H123" s="63">
        <v>529</v>
      </c>
      <c r="I123" s="63">
        <v>518.5</v>
      </c>
      <c r="J123" s="63">
        <v>521.8</v>
      </c>
      <c r="K123" s="63">
        <v>510.8</v>
      </c>
      <c r="L123" s="63">
        <v>515.7</v>
      </c>
      <c r="M123" s="63">
        <v>519.2</v>
      </c>
      <c r="N123" s="63">
        <v>527.3</v>
      </c>
      <c r="O123" s="63">
        <v>521.4</v>
      </c>
      <c r="P123" s="63">
        <v>517.9</v>
      </c>
      <c r="Q123" s="63">
        <v>540.5</v>
      </c>
      <c r="R123" s="63">
        <v>543.4</v>
      </c>
      <c r="S123" s="63">
        <v>518.9</v>
      </c>
      <c r="AI123" s="63">
        <v>90.81</v>
      </c>
    </row>
    <row r="124" s="63" customFormat="1" customHeight="1" spans="1:35">
      <c r="A124" s="67">
        <v>45962</v>
      </c>
      <c r="B124" s="63" t="s">
        <v>126</v>
      </c>
      <c r="C124" s="63">
        <v>142.13</v>
      </c>
      <c r="D124" s="63">
        <v>97.8</v>
      </c>
      <c r="E124" s="63">
        <v>538.5</v>
      </c>
      <c r="F124" s="63">
        <v>519.4</v>
      </c>
      <c r="G124" s="63">
        <v>523.1</v>
      </c>
      <c r="H124" s="63">
        <v>505</v>
      </c>
      <c r="I124" s="63">
        <v>506</v>
      </c>
      <c r="J124" s="63">
        <v>514</v>
      </c>
      <c r="K124" s="63">
        <v>503.5</v>
      </c>
      <c r="L124" s="63">
        <v>513.9</v>
      </c>
      <c r="M124" s="63">
        <v>516.4</v>
      </c>
      <c r="N124" s="63">
        <v>522.1</v>
      </c>
      <c r="O124" s="63">
        <v>521</v>
      </c>
      <c r="P124" s="63">
        <v>523.3</v>
      </c>
      <c r="Q124" s="63">
        <v>548</v>
      </c>
      <c r="R124" s="63">
        <v>537.3</v>
      </c>
      <c r="S124" s="63">
        <v>516.9</v>
      </c>
      <c r="AI124" s="63">
        <v>91.16</v>
      </c>
    </row>
    <row r="125" s="63" customFormat="1" customHeight="1" spans="1:35">
      <c r="A125" s="67">
        <v>45962</v>
      </c>
      <c r="B125" s="63" t="s">
        <v>127</v>
      </c>
      <c r="C125" s="63">
        <v>142.15</v>
      </c>
      <c r="D125" s="63">
        <v>96.4</v>
      </c>
      <c r="E125" s="63">
        <v>534.5</v>
      </c>
      <c r="F125" s="63">
        <v>512.2</v>
      </c>
      <c r="G125" s="63">
        <v>505.4</v>
      </c>
      <c r="H125" s="63">
        <v>511.1</v>
      </c>
      <c r="I125" s="63">
        <v>511.1</v>
      </c>
      <c r="J125" s="63">
        <v>509.1</v>
      </c>
      <c r="K125" s="63">
        <v>496.3</v>
      </c>
      <c r="L125" s="63">
        <v>510.7</v>
      </c>
      <c r="M125" s="63">
        <v>507.6</v>
      </c>
      <c r="N125" s="63">
        <v>515.3</v>
      </c>
      <c r="O125" s="63">
        <v>514.7</v>
      </c>
      <c r="P125" s="63">
        <v>528.5</v>
      </c>
      <c r="Q125" s="63">
        <v>534.7</v>
      </c>
      <c r="R125" s="63">
        <v>528.7</v>
      </c>
      <c r="S125" s="63">
        <v>506.5</v>
      </c>
      <c r="AI125" s="63">
        <v>90.8</v>
      </c>
    </row>
    <row r="126" s="32" customFormat="1" customHeight="1" spans="1:35">
      <c r="A126" s="31">
        <v>45962</v>
      </c>
      <c r="B126" s="32" t="s">
        <v>128</v>
      </c>
      <c r="C126" s="32">
        <v>142.05</v>
      </c>
      <c r="D126" s="32">
        <v>98.6</v>
      </c>
      <c r="E126" s="32">
        <v>520.2</v>
      </c>
      <c r="F126" s="32">
        <v>517.6</v>
      </c>
      <c r="G126" s="32">
        <v>512.8</v>
      </c>
      <c r="H126" s="32">
        <v>513.6</v>
      </c>
      <c r="I126" s="32">
        <v>511.7</v>
      </c>
      <c r="J126" s="32">
        <v>513</v>
      </c>
      <c r="K126" s="32">
        <v>511</v>
      </c>
      <c r="L126" s="32">
        <v>515.3</v>
      </c>
      <c r="M126" s="32">
        <v>515.5</v>
      </c>
      <c r="N126" s="32">
        <v>523.3</v>
      </c>
      <c r="O126" s="32">
        <v>525.3</v>
      </c>
      <c r="P126" s="32">
        <v>520.5</v>
      </c>
      <c r="Q126" s="32">
        <v>513.3</v>
      </c>
      <c r="R126" s="32">
        <v>516.6</v>
      </c>
      <c r="S126" s="32">
        <v>530.8</v>
      </c>
      <c r="AI126" s="32">
        <v>92.53</v>
      </c>
    </row>
    <row r="127" s="32" customFormat="1" customHeight="1" spans="1:35">
      <c r="A127" s="31">
        <v>45962</v>
      </c>
      <c r="B127" s="32" t="s">
        <v>129</v>
      </c>
      <c r="C127" s="32">
        <v>142.12</v>
      </c>
      <c r="D127" s="32">
        <v>97.9</v>
      </c>
      <c r="E127" s="32">
        <v>519.7</v>
      </c>
      <c r="F127" s="32">
        <v>535.2</v>
      </c>
      <c r="G127" s="32">
        <v>540.3</v>
      </c>
      <c r="H127" s="32">
        <v>536.9</v>
      </c>
      <c r="I127" s="32">
        <v>511</v>
      </c>
      <c r="J127" s="32">
        <v>522</v>
      </c>
      <c r="K127" s="32">
        <v>511.1</v>
      </c>
      <c r="L127" s="32">
        <v>510.6</v>
      </c>
      <c r="M127" s="32">
        <v>511.4</v>
      </c>
      <c r="N127" s="32">
        <v>527.1</v>
      </c>
      <c r="O127" s="32">
        <v>533.9</v>
      </c>
      <c r="P127" s="32">
        <v>539.1</v>
      </c>
      <c r="Q127" s="32">
        <v>549</v>
      </c>
      <c r="R127" s="32">
        <v>547.6</v>
      </c>
      <c r="S127" s="32">
        <v>530</v>
      </c>
      <c r="AI127" s="32">
        <v>90.02</v>
      </c>
    </row>
    <row r="128" s="32" customFormat="1" customHeight="1" spans="1:35">
      <c r="A128" s="31">
        <v>45962</v>
      </c>
      <c r="B128" s="32" t="s">
        <v>130</v>
      </c>
      <c r="C128" s="32">
        <v>142.06</v>
      </c>
      <c r="D128" s="32">
        <v>97.9</v>
      </c>
      <c r="E128" s="32">
        <v>511</v>
      </c>
      <c r="F128" s="32">
        <v>514.1</v>
      </c>
      <c r="G128" s="32">
        <v>519.8</v>
      </c>
      <c r="H128" s="32">
        <v>508.7</v>
      </c>
      <c r="I128" s="32">
        <v>508.8</v>
      </c>
      <c r="J128" s="32">
        <v>517.7</v>
      </c>
      <c r="K128" s="32">
        <v>511.5</v>
      </c>
      <c r="L128" s="32">
        <v>513</v>
      </c>
      <c r="M128" s="32">
        <v>517.7</v>
      </c>
      <c r="N128" s="32">
        <v>517.4</v>
      </c>
      <c r="O128" s="32">
        <v>522.5</v>
      </c>
      <c r="P128" s="32">
        <v>518.4</v>
      </c>
      <c r="Q128" s="32">
        <v>521.7</v>
      </c>
      <c r="R128" s="32">
        <v>526.6</v>
      </c>
      <c r="S128" s="32">
        <v>522.8</v>
      </c>
      <c r="AI128" s="32">
        <v>91.97</v>
      </c>
    </row>
    <row r="129" s="32" customFormat="1" customHeight="1" spans="1:35">
      <c r="A129" s="31">
        <v>45962</v>
      </c>
      <c r="B129" s="32" t="s">
        <v>131</v>
      </c>
      <c r="C129" s="32">
        <v>142.03</v>
      </c>
      <c r="D129" s="32">
        <v>99.4</v>
      </c>
      <c r="E129" s="32">
        <v>521.2</v>
      </c>
      <c r="F129" s="32">
        <v>527.7</v>
      </c>
      <c r="G129" s="32">
        <v>519.8</v>
      </c>
      <c r="H129" s="32">
        <v>512.8</v>
      </c>
      <c r="I129" s="32">
        <v>520.4</v>
      </c>
      <c r="J129" s="32">
        <v>524.5</v>
      </c>
      <c r="K129" s="32">
        <v>520.9</v>
      </c>
      <c r="L129" s="32">
        <v>524.6</v>
      </c>
      <c r="M129" s="32">
        <v>519.4</v>
      </c>
      <c r="N129" s="32">
        <v>523.7</v>
      </c>
      <c r="O129" s="32">
        <v>530.7</v>
      </c>
      <c r="P129" s="32">
        <v>526.7</v>
      </c>
      <c r="Q129" s="32">
        <v>529.8</v>
      </c>
      <c r="R129" s="32">
        <v>539.6</v>
      </c>
      <c r="S129" s="32">
        <v>536.4</v>
      </c>
      <c r="AI129" s="32">
        <v>91.9</v>
      </c>
    </row>
    <row r="130" s="32" customFormat="1" customHeight="1" spans="1:35">
      <c r="A130" s="31">
        <v>45962</v>
      </c>
      <c r="B130" s="32" t="s">
        <v>132</v>
      </c>
      <c r="C130" s="32">
        <v>142.01</v>
      </c>
      <c r="D130" s="32">
        <v>96.3</v>
      </c>
      <c r="E130" s="32">
        <v>509.8</v>
      </c>
      <c r="F130" s="32">
        <v>497</v>
      </c>
      <c r="G130" s="32">
        <v>497.3</v>
      </c>
      <c r="H130" s="32">
        <v>498.3</v>
      </c>
      <c r="I130" s="32">
        <v>506.7</v>
      </c>
      <c r="J130" s="32">
        <v>503.5</v>
      </c>
      <c r="K130" s="32">
        <v>497</v>
      </c>
      <c r="L130" s="32">
        <v>515.9</v>
      </c>
      <c r="M130" s="32">
        <v>504.6</v>
      </c>
      <c r="N130" s="32">
        <v>501.8</v>
      </c>
      <c r="O130" s="32">
        <v>510.3</v>
      </c>
      <c r="P130" s="32">
        <v>509.3</v>
      </c>
      <c r="Q130" s="32">
        <v>513</v>
      </c>
      <c r="R130" s="32">
        <v>519.2</v>
      </c>
      <c r="S130" s="32">
        <v>535.3</v>
      </c>
      <c r="AI130" s="32">
        <v>92.07</v>
      </c>
    </row>
    <row r="131" s="32" customFormat="1" customHeight="1" spans="1:35">
      <c r="A131" s="31">
        <v>45962</v>
      </c>
      <c r="B131" s="32" t="s">
        <v>133</v>
      </c>
      <c r="C131" s="32">
        <v>142</v>
      </c>
      <c r="D131" s="32">
        <v>97.9</v>
      </c>
      <c r="E131" s="32">
        <v>534.1</v>
      </c>
      <c r="F131" s="32">
        <v>519.5</v>
      </c>
      <c r="G131" s="32">
        <v>528.3</v>
      </c>
      <c r="H131" s="32">
        <v>523.8</v>
      </c>
      <c r="I131" s="32">
        <v>531.9</v>
      </c>
      <c r="J131" s="32">
        <v>526.5</v>
      </c>
      <c r="K131" s="32">
        <v>512.3</v>
      </c>
      <c r="L131" s="32">
        <v>517.9</v>
      </c>
      <c r="M131" s="32">
        <v>523.8</v>
      </c>
      <c r="N131" s="32">
        <v>520.6</v>
      </c>
      <c r="O131" s="32">
        <v>523.6</v>
      </c>
      <c r="P131" s="32">
        <v>522.3</v>
      </c>
      <c r="Q131" s="32">
        <v>533.4</v>
      </c>
      <c r="R131" s="32">
        <v>555.7</v>
      </c>
      <c r="S131" s="32">
        <v>546.8</v>
      </c>
      <c r="AI131" s="32">
        <v>90.05</v>
      </c>
    </row>
    <row r="132" s="32" customFormat="1" customHeight="1" spans="1:35">
      <c r="A132" s="31">
        <v>45962</v>
      </c>
      <c r="B132" s="32" t="s">
        <v>134</v>
      </c>
      <c r="C132" s="32">
        <v>142.03</v>
      </c>
      <c r="D132" s="32">
        <v>98.9</v>
      </c>
      <c r="E132" s="32">
        <v>525.3</v>
      </c>
      <c r="F132" s="32">
        <v>512.5</v>
      </c>
      <c r="G132" s="32">
        <v>513.6</v>
      </c>
      <c r="H132" s="32">
        <v>514.4</v>
      </c>
      <c r="I132" s="32">
        <v>518.9</v>
      </c>
      <c r="J132" s="32">
        <v>515.8</v>
      </c>
      <c r="K132" s="32">
        <v>519.5</v>
      </c>
      <c r="L132" s="32">
        <v>521.6</v>
      </c>
      <c r="M132" s="32">
        <v>528.1</v>
      </c>
      <c r="N132" s="32">
        <v>517.1</v>
      </c>
      <c r="O132" s="32">
        <v>534</v>
      </c>
      <c r="P132" s="32">
        <v>534.2</v>
      </c>
      <c r="Q132" s="32">
        <v>536.8</v>
      </c>
      <c r="R132" s="32">
        <v>545.7</v>
      </c>
      <c r="S132" s="32">
        <v>544.4</v>
      </c>
      <c r="AI132" s="32">
        <v>91.39</v>
      </c>
    </row>
    <row r="133" s="32" customFormat="1" customHeight="1" spans="1:35">
      <c r="A133" s="31">
        <v>45962</v>
      </c>
      <c r="B133" s="32" t="s">
        <v>135</v>
      </c>
      <c r="C133" s="32">
        <v>142.08</v>
      </c>
      <c r="D133" s="32">
        <v>95.4</v>
      </c>
      <c r="E133" s="32">
        <v>521.6</v>
      </c>
      <c r="F133" s="32">
        <v>535.4</v>
      </c>
      <c r="G133" s="32">
        <v>514.9</v>
      </c>
      <c r="H133" s="32">
        <v>516.2</v>
      </c>
      <c r="I133" s="32">
        <v>522.1</v>
      </c>
      <c r="J133" s="32">
        <v>503.6</v>
      </c>
      <c r="K133" s="32">
        <v>505.3</v>
      </c>
      <c r="L133" s="32">
        <v>499.3</v>
      </c>
      <c r="M133" s="32">
        <v>492.7</v>
      </c>
      <c r="N133" s="32">
        <v>505.3</v>
      </c>
      <c r="O133" s="32">
        <v>504.5</v>
      </c>
      <c r="P133" s="32">
        <v>506.9</v>
      </c>
      <c r="Q133" s="32">
        <v>510.5</v>
      </c>
      <c r="R133" s="32">
        <v>501</v>
      </c>
      <c r="S133" s="32">
        <v>501.9</v>
      </c>
      <c r="AI133" s="32">
        <v>90.9</v>
      </c>
    </row>
    <row r="134" s="32" customFormat="1" customHeight="1" spans="1:35">
      <c r="A134" s="31">
        <v>45962</v>
      </c>
      <c r="B134" s="32" t="s">
        <v>136</v>
      </c>
      <c r="C134" s="32">
        <v>142.04</v>
      </c>
      <c r="D134" s="32">
        <v>95.4</v>
      </c>
      <c r="E134" s="32">
        <v>506.5</v>
      </c>
      <c r="F134" s="32">
        <v>489.4</v>
      </c>
      <c r="G134" s="32">
        <v>488.5</v>
      </c>
      <c r="H134" s="32">
        <v>484.7</v>
      </c>
      <c r="I134" s="32">
        <v>497.4</v>
      </c>
      <c r="J134" s="32">
        <v>500</v>
      </c>
      <c r="K134" s="32">
        <v>495.6</v>
      </c>
      <c r="L134" s="32">
        <v>504.1</v>
      </c>
      <c r="M134" s="32">
        <v>503</v>
      </c>
      <c r="N134" s="32">
        <v>510.4</v>
      </c>
      <c r="O134" s="32">
        <v>508.7</v>
      </c>
      <c r="P134" s="32">
        <v>502.4</v>
      </c>
      <c r="Q134" s="32">
        <v>521.4</v>
      </c>
      <c r="R134" s="32">
        <v>529.4</v>
      </c>
      <c r="S134" s="32">
        <v>539.6</v>
      </c>
      <c r="AI134" s="32">
        <v>91.65</v>
      </c>
    </row>
    <row r="135" s="32" customFormat="1" customHeight="1" spans="1:35">
      <c r="A135" s="31">
        <v>45962</v>
      </c>
      <c r="B135" s="32" t="s">
        <v>137</v>
      </c>
      <c r="C135" s="32">
        <v>142.04</v>
      </c>
      <c r="D135" s="32">
        <v>97.4</v>
      </c>
      <c r="E135" s="32">
        <v>517.2</v>
      </c>
      <c r="F135" s="32">
        <v>509.1</v>
      </c>
      <c r="G135" s="32">
        <v>494.6</v>
      </c>
      <c r="H135" s="32">
        <v>492</v>
      </c>
      <c r="I135" s="32">
        <v>495.9</v>
      </c>
      <c r="J135" s="32">
        <v>516</v>
      </c>
      <c r="K135" s="32">
        <v>505.7</v>
      </c>
      <c r="L135" s="32">
        <v>506.5</v>
      </c>
      <c r="M135" s="32">
        <v>524.4</v>
      </c>
      <c r="N135" s="32">
        <v>515.2</v>
      </c>
      <c r="O135" s="32">
        <v>514.2</v>
      </c>
      <c r="P135" s="32">
        <v>515.1</v>
      </c>
      <c r="Q135" s="32">
        <v>527.2</v>
      </c>
      <c r="R135" s="32">
        <v>543.3</v>
      </c>
      <c r="S135" s="32">
        <v>545.6</v>
      </c>
      <c r="AI135" s="32">
        <v>91.86</v>
      </c>
    </row>
    <row r="136" s="32" customFormat="1" customHeight="1" spans="1:35">
      <c r="A136" s="31">
        <v>45962</v>
      </c>
      <c r="B136" s="32" t="s">
        <v>138</v>
      </c>
      <c r="C136" s="32">
        <v>142.13</v>
      </c>
      <c r="D136" s="32">
        <v>97.8</v>
      </c>
      <c r="E136" s="32">
        <v>515.4</v>
      </c>
      <c r="F136" s="32">
        <v>520.5</v>
      </c>
      <c r="G136" s="32">
        <v>527</v>
      </c>
      <c r="H136" s="32">
        <v>512.4</v>
      </c>
      <c r="I136" s="32">
        <v>506.7</v>
      </c>
      <c r="J136" s="32">
        <v>509.1</v>
      </c>
      <c r="K136" s="32">
        <v>494.8</v>
      </c>
      <c r="L136" s="32">
        <v>498.2</v>
      </c>
      <c r="M136" s="32">
        <v>504</v>
      </c>
      <c r="N136" s="32">
        <v>504.8</v>
      </c>
      <c r="O136" s="32">
        <v>506.4</v>
      </c>
      <c r="P136" s="32">
        <v>507.4</v>
      </c>
      <c r="Q136" s="32">
        <v>510.7</v>
      </c>
      <c r="R136" s="32">
        <v>528.6</v>
      </c>
      <c r="S136" s="32">
        <v>525.8</v>
      </c>
      <c r="AI136" s="32">
        <v>92.79</v>
      </c>
    </row>
    <row r="137" s="32" customFormat="1" customHeight="1" spans="1:35">
      <c r="A137" s="31">
        <v>45962</v>
      </c>
      <c r="B137" s="32" t="s">
        <v>139</v>
      </c>
      <c r="C137" s="32">
        <v>142.1</v>
      </c>
      <c r="D137" s="32">
        <v>97</v>
      </c>
      <c r="E137" s="32">
        <v>516</v>
      </c>
      <c r="F137" s="32">
        <v>516.7</v>
      </c>
      <c r="G137" s="32">
        <v>528.6</v>
      </c>
      <c r="H137" s="32">
        <v>521.1</v>
      </c>
      <c r="I137" s="32">
        <v>514.1</v>
      </c>
      <c r="J137" s="32">
        <v>515.7</v>
      </c>
      <c r="K137" s="32">
        <v>505.7</v>
      </c>
      <c r="L137" s="32">
        <v>515.6</v>
      </c>
      <c r="M137" s="32">
        <v>526.3</v>
      </c>
      <c r="N137" s="32">
        <v>519.5</v>
      </c>
      <c r="O137" s="32">
        <v>528.5</v>
      </c>
      <c r="P137" s="32">
        <v>540</v>
      </c>
      <c r="Q137" s="32">
        <v>537.9</v>
      </c>
      <c r="R137" s="32">
        <v>553.2</v>
      </c>
      <c r="S137" s="32">
        <v>532.4</v>
      </c>
      <c r="AI137" s="32">
        <v>89.71</v>
      </c>
    </row>
    <row r="138" s="32" customFormat="1" customHeight="1" spans="1:35">
      <c r="A138" s="31">
        <v>45962</v>
      </c>
      <c r="B138" s="32" t="s">
        <v>140</v>
      </c>
      <c r="C138" s="32">
        <v>142.13</v>
      </c>
      <c r="D138" s="32">
        <v>96.9</v>
      </c>
      <c r="E138" s="32">
        <v>534.9</v>
      </c>
      <c r="F138" s="32">
        <v>515.8</v>
      </c>
      <c r="G138" s="32">
        <v>517.2</v>
      </c>
      <c r="H138" s="32">
        <v>517.4</v>
      </c>
      <c r="I138" s="32">
        <v>509.3</v>
      </c>
      <c r="J138" s="32">
        <v>509.7</v>
      </c>
      <c r="K138" s="32">
        <v>492.5</v>
      </c>
      <c r="L138" s="32">
        <v>503.6</v>
      </c>
      <c r="M138" s="32">
        <v>511.4</v>
      </c>
      <c r="N138" s="32">
        <v>519.7</v>
      </c>
      <c r="O138" s="32">
        <v>522.5</v>
      </c>
      <c r="P138" s="32">
        <v>529.7</v>
      </c>
      <c r="Q138" s="32">
        <v>539</v>
      </c>
      <c r="R138" s="32">
        <v>534.6</v>
      </c>
      <c r="S138" s="32">
        <v>523.5</v>
      </c>
      <c r="AI138" s="32">
        <v>90.64</v>
      </c>
    </row>
    <row r="139" s="32" customFormat="1" customHeight="1" spans="1:35">
      <c r="A139" s="31">
        <v>45962</v>
      </c>
      <c r="B139" s="32" t="s">
        <v>141</v>
      </c>
      <c r="C139" s="32">
        <v>142.13</v>
      </c>
      <c r="D139" s="32">
        <v>96.9</v>
      </c>
      <c r="E139" s="32">
        <v>531.8</v>
      </c>
      <c r="F139" s="32">
        <v>522.1</v>
      </c>
      <c r="G139" s="32">
        <v>541.5</v>
      </c>
      <c r="H139" s="32">
        <v>518</v>
      </c>
      <c r="I139" s="32">
        <v>517.3</v>
      </c>
      <c r="J139" s="32">
        <v>521.5</v>
      </c>
      <c r="K139" s="32">
        <v>503.8</v>
      </c>
      <c r="L139" s="32">
        <v>508</v>
      </c>
      <c r="M139" s="32">
        <v>511.4</v>
      </c>
      <c r="N139" s="32">
        <v>518.9</v>
      </c>
      <c r="O139" s="32">
        <v>520.8</v>
      </c>
      <c r="P139" s="32">
        <v>530.7</v>
      </c>
      <c r="Q139" s="32">
        <v>534.4</v>
      </c>
      <c r="R139" s="32">
        <v>543.4</v>
      </c>
      <c r="S139" s="32">
        <v>517.7</v>
      </c>
      <c r="AI139" s="32">
        <v>89.94</v>
      </c>
    </row>
    <row r="140" s="32" customFormat="1" customHeight="1" spans="1:35">
      <c r="A140" s="31">
        <v>45962</v>
      </c>
      <c r="B140" s="32" t="s">
        <v>142</v>
      </c>
      <c r="C140" s="32">
        <v>142.12</v>
      </c>
      <c r="D140" s="32">
        <v>95.8</v>
      </c>
      <c r="E140" s="32">
        <v>506.1</v>
      </c>
      <c r="F140" s="32">
        <v>509.2</v>
      </c>
      <c r="G140" s="32">
        <v>512</v>
      </c>
      <c r="H140" s="32">
        <v>505.3</v>
      </c>
      <c r="I140" s="32">
        <v>506.8</v>
      </c>
      <c r="J140" s="32">
        <v>503.7</v>
      </c>
      <c r="K140" s="32">
        <v>495.4</v>
      </c>
      <c r="L140" s="32">
        <v>507.6</v>
      </c>
      <c r="M140" s="32">
        <v>515</v>
      </c>
      <c r="N140" s="32">
        <v>504.2</v>
      </c>
      <c r="O140" s="32">
        <v>520.6</v>
      </c>
      <c r="P140" s="32">
        <v>527.7</v>
      </c>
      <c r="Q140" s="32">
        <v>521.8</v>
      </c>
      <c r="R140" s="32">
        <v>535.4</v>
      </c>
      <c r="S140" s="32">
        <v>510.5</v>
      </c>
      <c r="AI140" s="32">
        <v>90.78</v>
      </c>
    </row>
    <row r="141" s="32" customFormat="1" customHeight="1" spans="1:35">
      <c r="A141" s="31">
        <v>45962</v>
      </c>
      <c r="B141" s="32" t="s">
        <v>143</v>
      </c>
      <c r="C141" s="32">
        <v>142.16</v>
      </c>
      <c r="D141" s="32">
        <v>98.1</v>
      </c>
      <c r="E141" s="32">
        <v>515.3</v>
      </c>
      <c r="F141" s="32">
        <v>516.3</v>
      </c>
      <c r="G141" s="32">
        <v>518.9</v>
      </c>
      <c r="H141" s="32">
        <v>521.6</v>
      </c>
      <c r="I141" s="32">
        <v>504.4</v>
      </c>
      <c r="J141" s="32">
        <v>513.2</v>
      </c>
      <c r="K141" s="32">
        <v>499.6</v>
      </c>
      <c r="L141" s="32">
        <v>511.9</v>
      </c>
      <c r="M141" s="32">
        <v>511.2</v>
      </c>
      <c r="N141" s="32">
        <v>513.7</v>
      </c>
      <c r="O141" s="32">
        <v>529.4</v>
      </c>
      <c r="P141" s="32">
        <v>528.5</v>
      </c>
      <c r="Q141" s="32">
        <v>541.5</v>
      </c>
      <c r="R141" s="32">
        <v>538.3</v>
      </c>
      <c r="S141" s="32">
        <v>517.8</v>
      </c>
      <c r="AI141" s="32">
        <v>91.74</v>
      </c>
    </row>
    <row r="142" s="32" customFormat="1" customHeight="1" spans="1:35">
      <c r="A142" s="31">
        <v>45962</v>
      </c>
      <c r="B142" s="32" t="s">
        <v>144</v>
      </c>
      <c r="C142" s="32">
        <v>142.08</v>
      </c>
      <c r="D142" s="32">
        <v>96.5</v>
      </c>
      <c r="E142" s="32">
        <v>497.2</v>
      </c>
      <c r="F142" s="32">
        <v>500.9</v>
      </c>
      <c r="G142" s="32">
        <v>491.3</v>
      </c>
      <c r="H142" s="32">
        <v>482.9</v>
      </c>
      <c r="I142" s="32">
        <v>503.8</v>
      </c>
      <c r="J142" s="32">
        <v>508.3</v>
      </c>
      <c r="K142" s="32">
        <v>512.4</v>
      </c>
      <c r="L142" s="32">
        <v>499.8</v>
      </c>
      <c r="M142" s="32">
        <v>497.7</v>
      </c>
      <c r="N142" s="32">
        <v>506.7</v>
      </c>
      <c r="O142" s="32">
        <v>516.9</v>
      </c>
      <c r="P142" s="32">
        <v>513.4</v>
      </c>
      <c r="Q142" s="32">
        <v>524.1</v>
      </c>
      <c r="R142" s="32">
        <v>536.8</v>
      </c>
      <c r="S142" s="32">
        <v>536.7</v>
      </c>
      <c r="AI142" s="32">
        <v>92.1</v>
      </c>
    </row>
    <row r="143" s="32" customFormat="1" customHeight="1" spans="1:35">
      <c r="A143" s="31">
        <v>45962</v>
      </c>
      <c r="B143" s="32" t="s">
        <v>145</v>
      </c>
      <c r="C143" s="32">
        <v>142.06</v>
      </c>
      <c r="D143" s="32">
        <v>98.6</v>
      </c>
      <c r="E143" s="32">
        <v>521</v>
      </c>
      <c r="F143" s="32">
        <v>523.7</v>
      </c>
      <c r="G143" s="32">
        <v>516.9</v>
      </c>
      <c r="H143" s="32">
        <v>511.2</v>
      </c>
      <c r="I143" s="32">
        <v>523</v>
      </c>
      <c r="J143" s="32">
        <v>525</v>
      </c>
      <c r="K143" s="32">
        <v>519.2</v>
      </c>
      <c r="L143" s="32">
        <v>523.1</v>
      </c>
      <c r="M143" s="32">
        <v>518.5</v>
      </c>
      <c r="N143" s="32">
        <v>522.7</v>
      </c>
      <c r="O143" s="32">
        <v>531.9</v>
      </c>
      <c r="P143" s="32">
        <v>533.4</v>
      </c>
      <c r="Q143" s="32">
        <v>531.9</v>
      </c>
      <c r="R143" s="32">
        <v>537.4</v>
      </c>
      <c r="S143" s="32">
        <v>539.9</v>
      </c>
      <c r="AI143" s="32">
        <v>91.13</v>
      </c>
    </row>
    <row r="144" s="32" customFormat="1" customHeight="1" spans="1:35">
      <c r="A144" s="31">
        <v>45962</v>
      </c>
      <c r="B144" s="32" t="s">
        <v>146</v>
      </c>
      <c r="C144" s="32">
        <v>142.05</v>
      </c>
      <c r="D144" s="32">
        <v>98</v>
      </c>
      <c r="E144" s="32">
        <v>510.1</v>
      </c>
      <c r="F144" s="32">
        <v>523</v>
      </c>
      <c r="G144" s="32">
        <v>507.9</v>
      </c>
      <c r="H144" s="32">
        <v>507.6</v>
      </c>
      <c r="I144" s="32">
        <v>516.5</v>
      </c>
      <c r="J144" s="32">
        <v>514.1</v>
      </c>
      <c r="K144" s="32">
        <v>519.7</v>
      </c>
      <c r="L144" s="32">
        <v>514.4</v>
      </c>
      <c r="M144" s="32">
        <v>520.1</v>
      </c>
      <c r="N144" s="32">
        <v>517.6</v>
      </c>
      <c r="O144" s="32">
        <v>539.9</v>
      </c>
      <c r="P144" s="32">
        <v>521.3</v>
      </c>
      <c r="Q144" s="32">
        <v>521.4</v>
      </c>
      <c r="R144" s="32">
        <v>525.9</v>
      </c>
      <c r="S144" s="32">
        <v>522.2</v>
      </c>
      <c r="AI144" s="32">
        <v>91.71</v>
      </c>
    </row>
    <row r="145" s="32" customFormat="1" customHeight="1" spans="1:35">
      <c r="A145" s="31">
        <v>45962</v>
      </c>
      <c r="B145" s="32" t="s">
        <v>147</v>
      </c>
      <c r="C145" s="32">
        <v>142.1</v>
      </c>
      <c r="D145" s="32">
        <v>95.2</v>
      </c>
      <c r="E145" s="32">
        <v>497.9</v>
      </c>
      <c r="F145" s="32">
        <v>485.2</v>
      </c>
      <c r="G145" s="32">
        <v>473.6</v>
      </c>
      <c r="H145" s="32">
        <v>471</v>
      </c>
      <c r="I145" s="32">
        <v>487.7</v>
      </c>
      <c r="J145" s="32">
        <v>490.9</v>
      </c>
      <c r="K145" s="32">
        <v>489.2</v>
      </c>
      <c r="L145" s="32">
        <v>491.7</v>
      </c>
      <c r="M145" s="32">
        <v>496.9</v>
      </c>
      <c r="N145" s="32">
        <v>510.5</v>
      </c>
      <c r="O145" s="32">
        <v>516.6</v>
      </c>
      <c r="P145" s="32">
        <v>528.4</v>
      </c>
      <c r="Q145" s="32">
        <v>540</v>
      </c>
      <c r="R145" s="32">
        <v>561.7</v>
      </c>
      <c r="S145" s="32">
        <v>556</v>
      </c>
      <c r="AI145" s="32">
        <v>91.22</v>
      </c>
    </row>
    <row r="146" s="32" customFormat="1" customHeight="1" spans="1:35">
      <c r="A146" s="31">
        <v>45962</v>
      </c>
      <c r="B146" s="32" t="s">
        <v>148</v>
      </c>
      <c r="C146" s="32">
        <v>142.03</v>
      </c>
      <c r="D146" s="32">
        <v>98.4</v>
      </c>
      <c r="E146" s="32">
        <v>510.2</v>
      </c>
      <c r="F146" s="32">
        <v>513.5</v>
      </c>
      <c r="G146" s="32">
        <v>513.5</v>
      </c>
      <c r="H146" s="32">
        <v>509.2</v>
      </c>
      <c r="I146" s="32">
        <v>512.2</v>
      </c>
      <c r="J146" s="32">
        <v>511.7</v>
      </c>
      <c r="K146" s="32">
        <v>516.7</v>
      </c>
      <c r="L146" s="32">
        <v>520.3</v>
      </c>
      <c r="M146" s="32">
        <v>516.2</v>
      </c>
      <c r="N146" s="32">
        <v>517.8</v>
      </c>
      <c r="O146" s="32">
        <v>520.6</v>
      </c>
      <c r="P146" s="32">
        <v>519.7</v>
      </c>
      <c r="Q146" s="32">
        <v>513.9</v>
      </c>
      <c r="R146" s="32">
        <v>523.3</v>
      </c>
      <c r="S146" s="32">
        <v>533.7</v>
      </c>
      <c r="AI146" s="32">
        <v>92.45</v>
      </c>
    </row>
    <row r="147" s="32" customFormat="1" customHeight="1" spans="1:35">
      <c r="A147" s="31">
        <v>45962</v>
      </c>
      <c r="B147" s="32" t="s">
        <v>149</v>
      </c>
      <c r="C147" s="32">
        <v>142.11</v>
      </c>
      <c r="D147" s="32">
        <v>96</v>
      </c>
      <c r="E147" s="32">
        <v>510.6</v>
      </c>
      <c r="F147" s="32">
        <v>484.4</v>
      </c>
      <c r="G147" s="32">
        <v>476.4</v>
      </c>
      <c r="H147" s="32">
        <v>479.5</v>
      </c>
      <c r="I147" s="32">
        <v>497.6</v>
      </c>
      <c r="J147" s="32">
        <v>500.3</v>
      </c>
      <c r="K147" s="32">
        <v>488.2</v>
      </c>
      <c r="L147" s="32">
        <v>497.7</v>
      </c>
      <c r="M147" s="32">
        <v>502.4</v>
      </c>
      <c r="N147" s="32">
        <v>507.1</v>
      </c>
      <c r="O147" s="32">
        <v>531.5</v>
      </c>
      <c r="P147" s="32">
        <v>532.2</v>
      </c>
      <c r="Q147" s="32">
        <v>537.2</v>
      </c>
      <c r="R147" s="32">
        <v>558.9</v>
      </c>
      <c r="S147" s="32">
        <v>561.9</v>
      </c>
      <c r="AI147" s="32">
        <v>91.16</v>
      </c>
    </row>
    <row r="148" s="32" customFormat="1" customHeight="1" spans="1:35">
      <c r="A148" s="31">
        <v>45962</v>
      </c>
      <c r="B148" s="32" t="s">
        <v>150</v>
      </c>
      <c r="C148" s="32">
        <v>142.1</v>
      </c>
      <c r="D148" s="32">
        <v>96.3</v>
      </c>
      <c r="E148" s="32">
        <v>504.1</v>
      </c>
      <c r="F148" s="32">
        <v>485.9</v>
      </c>
      <c r="G148" s="32">
        <v>479.3</v>
      </c>
      <c r="H148" s="32">
        <v>473</v>
      </c>
      <c r="I148" s="32">
        <v>492.3</v>
      </c>
      <c r="J148" s="32">
        <v>501.6</v>
      </c>
      <c r="K148" s="32">
        <v>502.1</v>
      </c>
      <c r="L148" s="32">
        <v>498.2</v>
      </c>
      <c r="M148" s="32">
        <v>499.5</v>
      </c>
      <c r="N148" s="32">
        <v>513.8</v>
      </c>
      <c r="O148" s="32">
        <v>514.2</v>
      </c>
      <c r="P148" s="32">
        <v>539</v>
      </c>
      <c r="Q148" s="32">
        <v>551.7</v>
      </c>
      <c r="R148" s="32">
        <v>568.4</v>
      </c>
      <c r="S148" s="32">
        <v>562.4</v>
      </c>
      <c r="AI148" s="32">
        <v>91.22</v>
      </c>
    </row>
    <row r="149" s="32" customFormat="1" customHeight="1" spans="1:35">
      <c r="A149" s="31">
        <v>45962</v>
      </c>
      <c r="B149" s="32" t="s">
        <v>151</v>
      </c>
      <c r="C149" s="32">
        <v>142.09</v>
      </c>
      <c r="D149" s="32">
        <v>96</v>
      </c>
      <c r="E149" s="32">
        <v>567.7</v>
      </c>
      <c r="F149" s="32">
        <v>498.4</v>
      </c>
      <c r="G149" s="32">
        <v>479.3</v>
      </c>
      <c r="H149" s="32">
        <v>508</v>
      </c>
      <c r="I149" s="32">
        <v>502.1</v>
      </c>
      <c r="J149" s="32">
        <v>494.5</v>
      </c>
      <c r="K149" s="32">
        <v>497.2</v>
      </c>
      <c r="L149" s="32">
        <v>496.4</v>
      </c>
      <c r="M149" s="32">
        <v>501.4</v>
      </c>
      <c r="N149" s="32">
        <v>517.2</v>
      </c>
      <c r="O149" s="32">
        <v>533.6</v>
      </c>
      <c r="P149" s="32">
        <v>535.8</v>
      </c>
      <c r="Q149" s="32">
        <v>556.1</v>
      </c>
      <c r="R149" s="32">
        <v>566.2</v>
      </c>
      <c r="S149" s="32">
        <v>584</v>
      </c>
      <c r="AI149" s="32">
        <v>89.17</v>
      </c>
    </row>
    <row r="150" s="32" customFormat="1" customHeight="1" spans="1:35">
      <c r="A150" s="31">
        <v>45962</v>
      </c>
      <c r="B150" s="32" t="s">
        <v>152</v>
      </c>
      <c r="C150" s="32">
        <v>142.04</v>
      </c>
      <c r="D150" s="32">
        <v>95.7</v>
      </c>
      <c r="E150" s="32">
        <v>509.7</v>
      </c>
      <c r="F150" s="32">
        <v>487.3</v>
      </c>
      <c r="G150" s="32">
        <v>492</v>
      </c>
      <c r="H150" s="32">
        <v>481.7</v>
      </c>
      <c r="I150" s="32">
        <v>494.5</v>
      </c>
      <c r="J150" s="32">
        <v>503.8</v>
      </c>
      <c r="K150" s="32">
        <v>493.6</v>
      </c>
      <c r="L150" s="32">
        <v>500.9</v>
      </c>
      <c r="M150" s="32">
        <v>500.2</v>
      </c>
      <c r="N150" s="32">
        <v>508.6</v>
      </c>
      <c r="O150" s="32">
        <v>510.6</v>
      </c>
      <c r="P150" s="32">
        <v>507.8</v>
      </c>
      <c r="Q150" s="32">
        <v>518.7</v>
      </c>
      <c r="R150" s="32">
        <v>532.9</v>
      </c>
      <c r="S150" s="32">
        <v>533.5</v>
      </c>
      <c r="AI150" s="32">
        <v>92</v>
      </c>
    </row>
    <row r="151" s="32" customFormat="1" customHeight="1" spans="1:35">
      <c r="A151" s="31">
        <v>45962</v>
      </c>
      <c r="B151" s="32" t="s">
        <v>153</v>
      </c>
      <c r="C151" s="32">
        <v>142.07</v>
      </c>
      <c r="D151" s="32">
        <v>99</v>
      </c>
      <c r="E151" s="32">
        <v>517.9</v>
      </c>
      <c r="F151" s="32">
        <v>518.4</v>
      </c>
      <c r="G151" s="32">
        <v>516.1</v>
      </c>
      <c r="H151" s="32">
        <v>520</v>
      </c>
      <c r="I151" s="32">
        <v>512.8</v>
      </c>
      <c r="J151" s="32">
        <v>511.7</v>
      </c>
      <c r="K151" s="32">
        <v>521.7</v>
      </c>
      <c r="L151" s="32">
        <v>526.4</v>
      </c>
      <c r="M151" s="32">
        <v>516.9</v>
      </c>
      <c r="N151" s="32">
        <v>532.6</v>
      </c>
      <c r="O151" s="32">
        <v>531</v>
      </c>
      <c r="P151" s="32">
        <v>534.8</v>
      </c>
      <c r="Q151" s="32">
        <v>541.4</v>
      </c>
      <c r="R151" s="32">
        <v>543.1</v>
      </c>
      <c r="S151" s="32">
        <v>548</v>
      </c>
      <c r="AI151" s="32">
        <v>91.6</v>
      </c>
    </row>
    <row r="152" s="32" customFormat="1" customHeight="1" spans="1:35">
      <c r="A152" s="31">
        <v>45962</v>
      </c>
      <c r="B152" s="32" t="s">
        <v>154</v>
      </c>
      <c r="C152" s="32">
        <v>142.14</v>
      </c>
      <c r="D152" s="32">
        <v>98</v>
      </c>
      <c r="E152" s="32">
        <v>544.4</v>
      </c>
      <c r="F152" s="32">
        <v>508.2</v>
      </c>
      <c r="G152" s="32">
        <v>499.9</v>
      </c>
      <c r="H152" s="32">
        <v>498.6</v>
      </c>
      <c r="I152" s="32">
        <v>509.7</v>
      </c>
      <c r="J152" s="32">
        <v>505.2</v>
      </c>
      <c r="K152" s="32">
        <v>501.3</v>
      </c>
      <c r="L152" s="32">
        <v>506.9</v>
      </c>
      <c r="M152" s="32">
        <v>507.5</v>
      </c>
      <c r="N152" s="32">
        <v>508</v>
      </c>
      <c r="O152" s="32">
        <v>516.5</v>
      </c>
      <c r="P152" s="32">
        <v>517.2</v>
      </c>
      <c r="Q152" s="32">
        <v>521.5</v>
      </c>
      <c r="R152" s="32">
        <v>545.4</v>
      </c>
      <c r="S152" s="32">
        <v>543.1</v>
      </c>
      <c r="AI152" s="32">
        <v>92.23</v>
      </c>
    </row>
    <row r="153" s="32" customFormat="1" customHeight="1" spans="1:35">
      <c r="A153" s="31">
        <v>45962</v>
      </c>
      <c r="B153" s="32" t="s">
        <v>155</v>
      </c>
      <c r="C153" s="32">
        <v>142.01</v>
      </c>
      <c r="D153" s="32">
        <v>98.3</v>
      </c>
      <c r="E153" s="32">
        <v>516.7</v>
      </c>
      <c r="F153" s="32">
        <v>506.2</v>
      </c>
      <c r="G153" s="32">
        <v>506</v>
      </c>
      <c r="H153" s="32">
        <v>505.8</v>
      </c>
      <c r="I153" s="32">
        <v>510</v>
      </c>
      <c r="J153" s="32">
        <v>513.4</v>
      </c>
      <c r="K153" s="32">
        <v>506.6</v>
      </c>
      <c r="L153" s="32">
        <v>523.3</v>
      </c>
      <c r="M153" s="32">
        <v>517.2</v>
      </c>
      <c r="N153" s="32">
        <v>508.7</v>
      </c>
      <c r="O153" s="32">
        <v>518.8</v>
      </c>
      <c r="P153" s="32">
        <v>511.8</v>
      </c>
      <c r="Q153" s="32">
        <v>524.4</v>
      </c>
      <c r="R153" s="32">
        <v>528</v>
      </c>
      <c r="S153" s="32">
        <v>531.4</v>
      </c>
      <c r="AI153" s="32">
        <v>92.66</v>
      </c>
    </row>
    <row r="154" s="32" customFormat="1" customHeight="1" spans="1:35">
      <c r="A154" s="31">
        <v>45962</v>
      </c>
      <c r="B154" s="32" t="s">
        <v>156</v>
      </c>
      <c r="C154" s="32">
        <v>142.14</v>
      </c>
      <c r="D154" s="32">
        <v>97.1</v>
      </c>
      <c r="E154" s="32">
        <v>537.6</v>
      </c>
      <c r="F154" s="32">
        <v>509.3</v>
      </c>
      <c r="G154" s="32">
        <v>503.9</v>
      </c>
      <c r="H154" s="32">
        <v>495.4</v>
      </c>
      <c r="I154" s="32">
        <v>510.7</v>
      </c>
      <c r="J154" s="32">
        <v>506.3</v>
      </c>
      <c r="K154" s="32">
        <v>507</v>
      </c>
      <c r="L154" s="32">
        <v>507</v>
      </c>
      <c r="M154" s="32">
        <v>512.6</v>
      </c>
      <c r="N154" s="32">
        <v>516.6</v>
      </c>
      <c r="O154" s="32">
        <v>519.4</v>
      </c>
      <c r="P154" s="32">
        <v>516.6</v>
      </c>
      <c r="Q154" s="32">
        <v>531</v>
      </c>
      <c r="R154" s="32">
        <v>552.4</v>
      </c>
      <c r="S154" s="32">
        <v>531.9</v>
      </c>
      <c r="AI154" s="32">
        <v>91.09</v>
      </c>
    </row>
    <row r="155" s="32" customFormat="1" customHeight="1" spans="1:35">
      <c r="A155" s="31">
        <v>45962</v>
      </c>
      <c r="B155" s="32" t="s">
        <v>157</v>
      </c>
      <c r="C155" s="32">
        <v>142.07</v>
      </c>
      <c r="D155" s="32">
        <v>94.4</v>
      </c>
      <c r="E155" s="32">
        <v>492.1</v>
      </c>
      <c r="F155" s="32">
        <v>487.7</v>
      </c>
      <c r="G155" s="32">
        <v>478.4</v>
      </c>
      <c r="H155" s="32">
        <v>473.4</v>
      </c>
      <c r="I155" s="32">
        <v>482.3</v>
      </c>
      <c r="J155" s="32">
        <v>487.8</v>
      </c>
      <c r="K155" s="32">
        <v>485.6</v>
      </c>
      <c r="L155" s="32">
        <v>490.6</v>
      </c>
      <c r="M155" s="32">
        <v>490</v>
      </c>
      <c r="N155" s="32">
        <v>490.8</v>
      </c>
      <c r="O155" s="32">
        <v>497.2</v>
      </c>
      <c r="P155" s="32">
        <v>490.9</v>
      </c>
      <c r="Q155" s="32">
        <v>503</v>
      </c>
      <c r="R155" s="32">
        <v>518.2</v>
      </c>
      <c r="S155" s="32">
        <v>515.6</v>
      </c>
      <c r="AI155" s="32">
        <v>93.09</v>
      </c>
    </row>
    <row r="156" s="32" customFormat="1" customHeight="1" spans="1:35">
      <c r="A156" s="31">
        <v>45962</v>
      </c>
      <c r="B156" s="32" t="s">
        <v>158</v>
      </c>
      <c r="C156" s="32">
        <v>142.02</v>
      </c>
      <c r="D156" s="32">
        <v>95.5</v>
      </c>
      <c r="E156" s="32">
        <v>509.1</v>
      </c>
      <c r="F156" s="32">
        <v>506.3</v>
      </c>
      <c r="G156" s="32">
        <v>500.2</v>
      </c>
      <c r="H156" s="32">
        <v>498.4</v>
      </c>
      <c r="I156" s="32">
        <v>510</v>
      </c>
      <c r="J156" s="32">
        <v>508.2</v>
      </c>
      <c r="K156" s="32">
        <v>509.2</v>
      </c>
      <c r="L156" s="32">
        <v>505.6</v>
      </c>
      <c r="M156" s="32">
        <v>509.3</v>
      </c>
      <c r="N156" s="32">
        <v>511.2</v>
      </c>
      <c r="O156" s="32">
        <v>512.8</v>
      </c>
      <c r="P156" s="32">
        <v>514.8</v>
      </c>
      <c r="Q156" s="32">
        <v>519.3</v>
      </c>
      <c r="R156" s="32">
        <v>531</v>
      </c>
      <c r="S156" s="32">
        <v>533.7</v>
      </c>
      <c r="AI156" s="32">
        <v>90.59</v>
      </c>
    </row>
    <row r="157" s="32" customFormat="1" customHeight="1" spans="1:35">
      <c r="A157" s="31">
        <v>45962</v>
      </c>
      <c r="B157" s="32" t="s">
        <v>159</v>
      </c>
      <c r="C157" s="32">
        <v>142.14</v>
      </c>
      <c r="D157" s="32">
        <v>97.6</v>
      </c>
      <c r="E157" s="32">
        <v>529.4</v>
      </c>
      <c r="F157" s="32">
        <v>508</v>
      </c>
      <c r="G157" s="32">
        <v>499.6</v>
      </c>
      <c r="H157" s="32">
        <v>499.5</v>
      </c>
      <c r="I157" s="32">
        <v>509.5</v>
      </c>
      <c r="J157" s="32">
        <v>508.3</v>
      </c>
      <c r="K157" s="32">
        <v>497.5</v>
      </c>
      <c r="L157" s="32">
        <v>506.3</v>
      </c>
      <c r="M157" s="32">
        <v>511.2</v>
      </c>
      <c r="N157" s="32">
        <v>515.3</v>
      </c>
      <c r="O157" s="32">
        <v>519.3</v>
      </c>
      <c r="P157" s="32">
        <v>517.9</v>
      </c>
      <c r="Q157" s="32">
        <v>521.8</v>
      </c>
      <c r="R157" s="32">
        <v>532.9</v>
      </c>
      <c r="S157" s="32">
        <v>519.5</v>
      </c>
      <c r="AI157" s="32">
        <v>92.3</v>
      </c>
    </row>
    <row r="158" s="32" customFormat="1" customHeight="1" spans="1:35">
      <c r="A158" s="31">
        <v>45962</v>
      </c>
      <c r="B158" s="32" t="s">
        <v>160</v>
      </c>
      <c r="C158" s="32">
        <v>170.23</v>
      </c>
      <c r="D158" s="32">
        <v>102.6</v>
      </c>
      <c r="E158" s="32">
        <v>440.1</v>
      </c>
      <c r="F158" s="32">
        <v>448.7</v>
      </c>
      <c r="G158" s="32">
        <v>456.3</v>
      </c>
      <c r="H158" s="32">
        <v>455.3</v>
      </c>
      <c r="I158" s="32">
        <v>459.2</v>
      </c>
      <c r="J158" s="32">
        <v>464.8</v>
      </c>
      <c r="K158" s="32">
        <v>483.4</v>
      </c>
      <c r="L158" s="32">
        <v>480.4</v>
      </c>
      <c r="M158" s="32">
        <v>477.3</v>
      </c>
      <c r="N158" s="32">
        <v>474.3</v>
      </c>
      <c r="O158" s="32">
        <v>472.7</v>
      </c>
      <c r="P158" s="32">
        <v>472.4</v>
      </c>
      <c r="Q158" s="32">
        <v>466.6</v>
      </c>
      <c r="R158" s="32">
        <v>462.8</v>
      </c>
      <c r="S158" s="32">
        <v>463.4</v>
      </c>
      <c r="T158" s="32">
        <v>469.6</v>
      </c>
      <c r="U158" s="32">
        <v>459.7</v>
      </c>
      <c r="V158" s="32">
        <v>419.3</v>
      </c>
      <c r="AI158" s="32">
        <v>89.86</v>
      </c>
    </row>
    <row r="159" s="32" customFormat="1" customHeight="1" spans="1:35">
      <c r="A159" s="31">
        <v>45962</v>
      </c>
      <c r="B159" s="32" t="s">
        <v>161</v>
      </c>
      <c r="C159" s="32">
        <v>142.16</v>
      </c>
      <c r="D159" s="32">
        <v>98.9</v>
      </c>
      <c r="E159" s="32">
        <v>542.1</v>
      </c>
      <c r="F159" s="32">
        <v>516.4</v>
      </c>
      <c r="G159" s="32">
        <v>507.8</v>
      </c>
      <c r="H159" s="32">
        <v>513</v>
      </c>
      <c r="I159" s="32">
        <v>515.5</v>
      </c>
      <c r="J159" s="32">
        <v>517.3</v>
      </c>
      <c r="K159" s="32">
        <v>527.3</v>
      </c>
      <c r="L159" s="32">
        <v>520.7</v>
      </c>
      <c r="M159" s="32">
        <v>516.9</v>
      </c>
      <c r="N159" s="32">
        <v>526.1</v>
      </c>
      <c r="O159" s="32">
        <v>535</v>
      </c>
      <c r="P159" s="32">
        <v>531.1</v>
      </c>
      <c r="Q159" s="32">
        <v>536.2</v>
      </c>
      <c r="R159" s="32">
        <v>545.3</v>
      </c>
      <c r="S159" s="32">
        <v>518.7</v>
      </c>
      <c r="AI159" s="32">
        <v>91.45</v>
      </c>
    </row>
    <row r="160" s="32" customFormat="1" customHeight="1" spans="1:35">
      <c r="A160" s="31">
        <v>45962</v>
      </c>
      <c r="B160" s="32" t="s">
        <v>162</v>
      </c>
      <c r="C160" s="32">
        <v>142.38</v>
      </c>
      <c r="D160" s="32">
        <v>91</v>
      </c>
      <c r="E160" s="32">
        <v>471.2</v>
      </c>
      <c r="F160" s="32">
        <v>485.2</v>
      </c>
      <c r="G160" s="32">
        <v>492.9</v>
      </c>
      <c r="H160" s="32">
        <v>491.7</v>
      </c>
      <c r="I160" s="32">
        <v>498.1</v>
      </c>
      <c r="J160" s="32">
        <v>506.2</v>
      </c>
      <c r="K160" s="32">
        <v>519.4</v>
      </c>
      <c r="L160" s="32">
        <v>507.2</v>
      </c>
      <c r="M160" s="32">
        <v>498.2</v>
      </c>
      <c r="N160" s="32">
        <v>517.3</v>
      </c>
      <c r="O160" s="32">
        <v>506.4</v>
      </c>
      <c r="P160" s="32">
        <v>493.8</v>
      </c>
      <c r="Q160" s="32">
        <v>492.8</v>
      </c>
      <c r="R160" s="32">
        <v>478.9</v>
      </c>
      <c r="S160" s="32">
        <v>446.9</v>
      </c>
      <c r="AI160" s="32">
        <v>89.27</v>
      </c>
    </row>
    <row r="161" s="32" customFormat="1" customHeight="1" spans="1:35">
      <c r="A161" s="31">
        <v>45962</v>
      </c>
      <c r="B161" s="32" t="s">
        <v>163</v>
      </c>
      <c r="C161" s="32">
        <v>142.15</v>
      </c>
      <c r="D161" s="32">
        <v>98.4</v>
      </c>
      <c r="E161" s="32">
        <v>531.8</v>
      </c>
      <c r="F161" s="32">
        <v>517.9</v>
      </c>
      <c r="G161" s="32">
        <v>513.1</v>
      </c>
      <c r="H161" s="32">
        <v>508.9</v>
      </c>
      <c r="I161" s="32">
        <v>516.2</v>
      </c>
      <c r="J161" s="32">
        <v>517.6</v>
      </c>
      <c r="K161" s="32">
        <v>512.5</v>
      </c>
      <c r="L161" s="32">
        <v>513.3</v>
      </c>
      <c r="M161" s="32">
        <v>512</v>
      </c>
      <c r="N161" s="32">
        <v>523.7</v>
      </c>
      <c r="O161" s="32">
        <v>544</v>
      </c>
      <c r="P161" s="32">
        <v>523</v>
      </c>
      <c r="Q161" s="32">
        <v>523.2</v>
      </c>
      <c r="R161" s="32">
        <v>563.1</v>
      </c>
      <c r="S161" s="32">
        <v>521.3</v>
      </c>
      <c r="AI161" s="32">
        <v>91.32</v>
      </c>
    </row>
    <row r="162" s="32" customFormat="1" customHeight="1" spans="1:35">
      <c r="A162" s="31">
        <v>45962</v>
      </c>
      <c r="B162" s="32" t="s">
        <v>164</v>
      </c>
      <c r="C162" s="32">
        <v>142.16</v>
      </c>
      <c r="D162" s="32">
        <v>99.2</v>
      </c>
      <c r="E162" s="32">
        <v>535.9</v>
      </c>
      <c r="F162" s="32">
        <v>519.7</v>
      </c>
      <c r="G162" s="32">
        <v>517.9</v>
      </c>
      <c r="H162" s="32">
        <v>520.2</v>
      </c>
      <c r="I162" s="32">
        <v>517</v>
      </c>
      <c r="J162" s="32">
        <v>518.2</v>
      </c>
      <c r="K162" s="32">
        <v>519.3</v>
      </c>
      <c r="L162" s="32">
        <v>519.4</v>
      </c>
      <c r="M162" s="32">
        <v>533</v>
      </c>
      <c r="N162" s="32">
        <v>524.5</v>
      </c>
      <c r="O162" s="32">
        <v>533.9</v>
      </c>
      <c r="P162" s="32">
        <v>546.2</v>
      </c>
      <c r="Q162" s="32">
        <v>533.7</v>
      </c>
      <c r="R162" s="32">
        <v>540</v>
      </c>
      <c r="S162" s="32">
        <v>517.5</v>
      </c>
      <c r="AI162" s="32">
        <v>91.42</v>
      </c>
    </row>
    <row r="163" s="32" customFormat="1" customHeight="1" spans="1:35">
      <c r="A163" s="31">
        <v>45962</v>
      </c>
      <c r="B163" s="32" t="s">
        <v>165</v>
      </c>
      <c r="C163" s="32">
        <v>120.33</v>
      </c>
      <c r="D163" s="32">
        <v>82.1</v>
      </c>
      <c r="E163" s="32">
        <v>496.8</v>
      </c>
      <c r="F163" s="32">
        <v>527.9</v>
      </c>
      <c r="G163" s="32">
        <v>532.1</v>
      </c>
      <c r="H163" s="32">
        <v>552.5</v>
      </c>
      <c r="I163" s="32">
        <v>518.7</v>
      </c>
      <c r="J163" s="32">
        <v>523.1</v>
      </c>
      <c r="K163" s="32">
        <v>540.5</v>
      </c>
      <c r="L163" s="32">
        <v>541.5</v>
      </c>
      <c r="M163" s="32">
        <v>547.1</v>
      </c>
      <c r="N163" s="32">
        <v>530.3</v>
      </c>
      <c r="O163" s="32">
        <v>539</v>
      </c>
      <c r="P163" s="32">
        <v>513.1</v>
      </c>
      <c r="Q163" s="32">
        <v>461</v>
      </c>
      <c r="AI163" s="32">
        <v>89.65</v>
      </c>
    </row>
    <row r="164" s="32" customFormat="1" customHeight="1" spans="1:35">
      <c r="A164" s="31">
        <v>45962</v>
      </c>
      <c r="B164" s="32" t="s">
        <v>166</v>
      </c>
      <c r="C164" s="32">
        <v>142.12</v>
      </c>
      <c r="D164" s="32">
        <v>98.8</v>
      </c>
      <c r="E164" s="32">
        <v>542.3</v>
      </c>
      <c r="F164" s="32">
        <v>516</v>
      </c>
      <c r="G164" s="32">
        <v>513.4</v>
      </c>
      <c r="H164" s="32">
        <v>510.6</v>
      </c>
      <c r="I164" s="32">
        <v>510</v>
      </c>
      <c r="J164" s="32">
        <v>518.4</v>
      </c>
      <c r="K164" s="32">
        <v>519.6</v>
      </c>
      <c r="L164" s="32">
        <v>521.2</v>
      </c>
      <c r="M164" s="32">
        <v>537.4</v>
      </c>
      <c r="N164" s="32">
        <v>523.3</v>
      </c>
      <c r="O164" s="32">
        <v>531.8</v>
      </c>
      <c r="P164" s="32">
        <v>538.9</v>
      </c>
      <c r="Q164" s="32">
        <v>535.7</v>
      </c>
      <c r="R164" s="32">
        <v>547.8</v>
      </c>
      <c r="S164" s="32">
        <v>515.2</v>
      </c>
      <c r="AI164" s="32">
        <v>91.25</v>
      </c>
    </row>
    <row r="165" s="32" customFormat="1" customHeight="1" spans="1:35">
      <c r="A165" s="31">
        <v>45962</v>
      </c>
      <c r="B165" s="32" t="s">
        <v>167</v>
      </c>
      <c r="C165" s="32">
        <v>142.06</v>
      </c>
      <c r="D165" s="32">
        <v>95.6</v>
      </c>
      <c r="E165" s="32">
        <v>508.9</v>
      </c>
      <c r="F165" s="32">
        <v>494</v>
      </c>
      <c r="G165" s="32">
        <v>488.4</v>
      </c>
      <c r="H165" s="32">
        <v>482.6</v>
      </c>
      <c r="I165" s="32">
        <v>491.2</v>
      </c>
      <c r="J165" s="32">
        <v>498.5</v>
      </c>
      <c r="K165" s="32">
        <v>496.6</v>
      </c>
      <c r="L165" s="32">
        <v>502.5</v>
      </c>
      <c r="M165" s="32">
        <v>510.7</v>
      </c>
      <c r="N165" s="32">
        <v>500.6</v>
      </c>
      <c r="O165" s="32">
        <v>510.9</v>
      </c>
      <c r="P165" s="32">
        <v>505.4</v>
      </c>
      <c r="Q165" s="32">
        <v>528.5</v>
      </c>
      <c r="R165" s="32">
        <v>536.6</v>
      </c>
      <c r="S165" s="32">
        <v>537.9</v>
      </c>
      <c r="AI165" s="32">
        <v>91.68</v>
      </c>
    </row>
    <row r="166" s="32" customFormat="1" customHeight="1" spans="1:35">
      <c r="A166" s="31">
        <v>45962</v>
      </c>
      <c r="B166" s="32" t="s">
        <v>168</v>
      </c>
      <c r="C166" s="32">
        <v>142.15</v>
      </c>
      <c r="D166" s="32">
        <v>101.2</v>
      </c>
      <c r="E166" s="32">
        <v>565.5</v>
      </c>
      <c r="F166" s="32">
        <v>528.1</v>
      </c>
      <c r="G166" s="32">
        <v>524</v>
      </c>
      <c r="H166" s="32">
        <v>520.3</v>
      </c>
      <c r="I166" s="32">
        <v>528</v>
      </c>
      <c r="J166" s="32">
        <v>531.2</v>
      </c>
      <c r="K166" s="32">
        <v>519.4</v>
      </c>
      <c r="L166" s="32">
        <v>518.5</v>
      </c>
      <c r="M166" s="32">
        <v>524.9</v>
      </c>
      <c r="N166" s="32">
        <v>549.6</v>
      </c>
      <c r="O166" s="32">
        <v>542.5</v>
      </c>
      <c r="P166" s="32">
        <v>557</v>
      </c>
      <c r="Q166" s="32">
        <v>557.2</v>
      </c>
      <c r="R166" s="32">
        <v>559.6</v>
      </c>
      <c r="S166" s="32">
        <v>541.4</v>
      </c>
      <c r="AI166" s="32">
        <v>91.29</v>
      </c>
    </row>
    <row r="167" s="32" customFormat="1" customHeight="1" spans="1:35">
      <c r="A167" s="31">
        <v>45962</v>
      </c>
      <c r="B167" s="32" t="s">
        <v>169</v>
      </c>
      <c r="C167" s="32">
        <v>142.11</v>
      </c>
      <c r="D167" s="32">
        <v>97.1</v>
      </c>
      <c r="E167" s="32">
        <v>539.6</v>
      </c>
      <c r="F167" s="32">
        <v>504</v>
      </c>
      <c r="G167" s="32">
        <v>495.6</v>
      </c>
      <c r="H167" s="32">
        <v>492.8</v>
      </c>
      <c r="I167" s="32">
        <v>510.1</v>
      </c>
      <c r="J167" s="32">
        <v>503.1</v>
      </c>
      <c r="K167" s="32">
        <v>497.3</v>
      </c>
      <c r="L167" s="32">
        <v>501.8</v>
      </c>
      <c r="M167" s="32">
        <v>503.1</v>
      </c>
      <c r="N167" s="32">
        <v>510.2</v>
      </c>
      <c r="O167" s="32">
        <v>513.9</v>
      </c>
      <c r="P167" s="32">
        <v>513.4</v>
      </c>
      <c r="Q167" s="32">
        <v>520.3</v>
      </c>
      <c r="R167" s="32">
        <v>543.2</v>
      </c>
      <c r="S167" s="32">
        <v>542.2</v>
      </c>
      <c r="AI167" s="32">
        <v>91.91</v>
      </c>
    </row>
    <row r="168" s="32" customFormat="1" customHeight="1" spans="1:35">
      <c r="A168" s="31">
        <v>45962</v>
      </c>
      <c r="B168" s="32" t="s">
        <v>170</v>
      </c>
      <c r="C168" s="32">
        <v>142.15</v>
      </c>
      <c r="D168" s="32">
        <v>99.1</v>
      </c>
      <c r="E168" s="32">
        <v>546.5</v>
      </c>
      <c r="F168" s="32">
        <v>521</v>
      </c>
      <c r="G168" s="32">
        <v>511.5</v>
      </c>
      <c r="H168" s="32">
        <v>505</v>
      </c>
      <c r="I168" s="32">
        <v>517.6</v>
      </c>
      <c r="J168" s="32">
        <v>517.6</v>
      </c>
      <c r="K168" s="32">
        <v>510.4</v>
      </c>
      <c r="L168" s="32">
        <v>512.6</v>
      </c>
      <c r="M168" s="32">
        <v>513.7</v>
      </c>
      <c r="N168" s="32">
        <v>524.8</v>
      </c>
      <c r="O168" s="32">
        <v>537.3</v>
      </c>
      <c r="P168" s="32">
        <v>545.3</v>
      </c>
      <c r="Q168" s="32">
        <v>542.8</v>
      </c>
      <c r="R168" s="32">
        <v>549.6</v>
      </c>
      <c r="S168" s="32">
        <v>529.7</v>
      </c>
      <c r="AI168" s="32">
        <v>91.46</v>
      </c>
    </row>
    <row r="169" s="32" customFormat="1" customHeight="1" spans="1:35">
      <c r="A169" s="31">
        <v>45962</v>
      </c>
      <c r="B169" s="32" t="s">
        <v>171</v>
      </c>
      <c r="C169" s="32">
        <v>142.11</v>
      </c>
      <c r="D169" s="32">
        <v>97.7</v>
      </c>
      <c r="E169" s="32">
        <v>534.6</v>
      </c>
      <c r="F169" s="32">
        <v>514.5</v>
      </c>
      <c r="G169" s="32">
        <v>500</v>
      </c>
      <c r="H169" s="32">
        <v>505.7</v>
      </c>
      <c r="I169" s="32">
        <v>511</v>
      </c>
      <c r="J169" s="32">
        <v>507.4</v>
      </c>
      <c r="K169" s="32">
        <v>509.9</v>
      </c>
      <c r="L169" s="32">
        <v>505.4</v>
      </c>
      <c r="M169" s="32">
        <v>512</v>
      </c>
      <c r="N169" s="32">
        <v>521.2</v>
      </c>
      <c r="O169" s="32">
        <v>517.2</v>
      </c>
      <c r="P169" s="32">
        <v>515.6</v>
      </c>
      <c r="Q169" s="32">
        <v>531.4</v>
      </c>
      <c r="R169" s="32">
        <v>549.5</v>
      </c>
      <c r="S169" s="32">
        <v>532</v>
      </c>
      <c r="AI169" s="32">
        <v>91.56</v>
      </c>
    </row>
    <row r="170" s="32" customFormat="1" customHeight="1" spans="1:35">
      <c r="A170" s="31">
        <v>45962</v>
      </c>
      <c r="B170" s="32" t="s">
        <v>172</v>
      </c>
      <c r="C170" s="32">
        <v>142.12</v>
      </c>
      <c r="D170" s="32">
        <v>96.5</v>
      </c>
      <c r="E170" s="32">
        <v>554.5</v>
      </c>
      <c r="F170" s="32">
        <v>491.5</v>
      </c>
      <c r="G170" s="32">
        <v>490.4</v>
      </c>
      <c r="H170" s="32">
        <v>491</v>
      </c>
      <c r="I170" s="32">
        <v>503.9</v>
      </c>
      <c r="J170" s="32">
        <v>491.2</v>
      </c>
      <c r="K170" s="32">
        <v>489.6</v>
      </c>
      <c r="L170" s="32">
        <v>493.2</v>
      </c>
      <c r="M170" s="32">
        <v>494</v>
      </c>
      <c r="N170" s="32">
        <v>502.5</v>
      </c>
      <c r="O170" s="32">
        <v>523.7</v>
      </c>
      <c r="P170" s="32">
        <v>527.2</v>
      </c>
      <c r="Q170" s="32">
        <v>535.8</v>
      </c>
      <c r="R170" s="32">
        <v>553.8</v>
      </c>
      <c r="S170" s="32">
        <v>569.4</v>
      </c>
      <c r="AI170" s="32">
        <v>91.08</v>
      </c>
    </row>
    <row r="171" s="32" customFormat="1" customHeight="1" spans="1:35">
      <c r="A171" s="31">
        <v>45962</v>
      </c>
      <c r="B171" s="32" t="s">
        <v>173</v>
      </c>
      <c r="C171" s="32">
        <v>142.09</v>
      </c>
      <c r="D171" s="32">
        <v>98</v>
      </c>
      <c r="E171" s="32">
        <v>538.9</v>
      </c>
      <c r="F171" s="32">
        <v>519.7</v>
      </c>
      <c r="G171" s="32">
        <v>503.2</v>
      </c>
      <c r="H171" s="32">
        <v>499.6</v>
      </c>
      <c r="I171" s="32">
        <v>512.1</v>
      </c>
      <c r="J171" s="32">
        <v>509.8</v>
      </c>
      <c r="K171" s="32">
        <v>506.7</v>
      </c>
      <c r="L171" s="32">
        <v>507.4</v>
      </c>
      <c r="M171" s="32">
        <v>510.8</v>
      </c>
      <c r="N171" s="32">
        <v>520.4</v>
      </c>
      <c r="O171" s="32">
        <v>536.2</v>
      </c>
      <c r="P171" s="32">
        <v>543.7</v>
      </c>
      <c r="Q171" s="32">
        <v>543.6</v>
      </c>
      <c r="R171" s="32">
        <v>545.3</v>
      </c>
      <c r="S171" s="32">
        <v>528.6</v>
      </c>
      <c r="AI171" s="32">
        <v>91.17</v>
      </c>
    </row>
    <row r="172" s="32" customFormat="1" customHeight="1" spans="1:35">
      <c r="A172" s="31">
        <v>45962</v>
      </c>
      <c r="B172" s="32" t="s">
        <v>174</v>
      </c>
      <c r="C172" s="32">
        <v>142.14</v>
      </c>
      <c r="D172" s="32">
        <v>98.4</v>
      </c>
      <c r="E172" s="32">
        <v>539.8</v>
      </c>
      <c r="F172" s="32">
        <v>517.3</v>
      </c>
      <c r="G172" s="32">
        <v>509.9</v>
      </c>
      <c r="H172" s="32">
        <v>501.4</v>
      </c>
      <c r="I172" s="32">
        <v>511.9</v>
      </c>
      <c r="J172" s="32">
        <v>512.7</v>
      </c>
      <c r="K172" s="32">
        <v>506.7</v>
      </c>
      <c r="L172" s="32">
        <v>512.3</v>
      </c>
      <c r="M172" s="32">
        <v>519.3</v>
      </c>
      <c r="N172" s="32">
        <v>519.9</v>
      </c>
      <c r="O172" s="32">
        <v>538.8</v>
      </c>
      <c r="P172" s="32">
        <v>539.5</v>
      </c>
      <c r="Q172" s="32">
        <v>546.2</v>
      </c>
      <c r="R172" s="32">
        <v>548.1</v>
      </c>
      <c r="S172" s="32">
        <v>527.4</v>
      </c>
      <c r="AI172" s="32">
        <v>91.21</v>
      </c>
    </row>
    <row r="173" s="32" customFormat="1" customHeight="1" spans="1:35">
      <c r="A173" s="31">
        <v>45962</v>
      </c>
      <c r="B173" s="32" t="s">
        <v>175</v>
      </c>
      <c r="C173" s="32">
        <v>142.14</v>
      </c>
      <c r="D173" s="32">
        <v>98.4</v>
      </c>
      <c r="E173" s="32">
        <v>529.2</v>
      </c>
      <c r="F173" s="32">
        <v>514.4</v>
      </c>
      <c r="G173" s="32">
        <v>497.7</v>
      </c>
      <c r="H173" s="32">
        <v>498.4</v>
      </c>
      <c r="I173" s="32">
        <v>507.5</v>
      </c>
      <c r="J173" s="32">
        <v>508.9</v>
      </c>
      <c r="K173" s="32">
        <v>503.8</v>
      </c>
      <c r="L173" s="32">
        <v>503.3</v>
      </c>
      <c r="M173" s="32">
        <v>508.5</v>
      </c>
      <c r="N173" s="32">
        <v>513</v>
      </c>
      <c r="O173" s="32">
        <v>520.1</v>
      </c>
      <c r="P173" s="32">
        <v>517.7</v>
      </c>
      <c r="Q173" s="32">
        <v>521.4</v>
      </c>
      <c r="R173" s="32">
        <v>533.1</v>
      </c>
      <c r="S173" s="32">
        <v>518.8</v>
      </c>
      <c r="AI173" s="32">
        <v>93.06</v>
      </c>
    </row>
    <row r="174" s="32" customFormat="1" customHeight="1" spans="1:35">
      <c r="A174" s="31">
        <v>45962</v>
      </c>
      <c r="B174" s="32" t="s">
        <v>176</v>
      </c>
      <c r="C174" s="32">
        <v>142.1</v>
      </c>
      <c r="D174" s="32">
        <v>96.6</v>
      </c>
      <c r="E174" s="32">
        <v>536.8</v>
      </c>
      <c r="F174" s="32">
        <v>512.7</v>
      </c>
      <c r="G174" s="32">
        <v>498.9</v>
      </c>
      <c r="H174" s="32">
        <v>493.2</v>
      </c>
      <c r="I174" s="32">
        <v>499.3</v>
      </c>
      <c r="J174" s="32">
        <v>509</v>
      </c>
      <c r="K174" s="32">
        <v>496.8</v>
      </c>
      <c r="L174" s="32">
        <v>501.4</v>
      </c>
      <c r="M174" s="32">
        <v>503.5</v>
      </c>
      <c r="N174" s="32">
        <v>508.5</v>
      </c>
      <c r="O174" s="32">
        <v>521.8</v>
      </c>
      <c r="P174" s="32">
        <v>530.8</v>
      </c>
      <c r="Q174" s="32">
        <v>531.5</v>
      </c>
      <c r="R174" s="32">
        <v>533.8</v>
      </c>
      <c r="S174" s="32">
        <v>519.2</v>
      </c>
      <c r="AI174" s="32">
        <v>91.36</v>
      </c>
    </row>
    <row r="175" s="32" customFormat="1" customHeight="1" spans="1:35">
      <c r="A175" s="31">
        <v>45962</v>
      </c>
      <c r="B175" s="32" t="s">
        <v>177</v>
      </c>
      <c r="C175" s="32">
        <v>142.1</v>
      </c>
      <c r="D175" s="32">
        <v>94.6</v>
      </c>
      <c r="E175" s="32">
        <v>524.5</v>
      </c>
      <c r="F175" s="32">
        <v>502.6</v>
      </c>
      <c r="G175" s="32">
        <v>493.3</v>
      </c>
      <c r="H175" s="32">
        <v>486.4</v>
      </c>
      <c r="I175" s="32">
        <v>498.2</v>
      </c>
      <c r="J175" s="32">
        <v>494.4</v>
      </c>
      <c r="K175" s="32">
        <v>486.2</v>
      </c>
      <c r="L175" s="32">
        <v>491.3</v>
      </c>
      <c r="M175" s="32">
        <v>489.5</v>
      </c>
      <c r="N175" s="32">
        <v>498.9</v>
      </c>
      <c r="O175" s="32">
        <v>510.5</v>
      </c>
      <c r="P175" s="32">
        <v>518</v>
      </c>
      <c r="Q175" s="32">
        <v>521.8</v>
      </c>
      <c r="R175" s="32">
        <v>526.1</v>
      </c>
      <c r="S175" s="32">
        <v>508.9</v>
      </c>
      <c r="AI175" s="32">
        <v>91.21</v>
      </c>
    </row>
    <row r="176" s="32" customFormat="1" customHeight="1" spans="1:35">
      <c r="A176" s="31">
        <v>45962</v>
      </c>
      <c r="B176" s="32" t="s">
        <v>178</v>
      </c>
      <c r="C176" s="32">
        <v>142.08</v>
      </c>
      <c r="D176" s="32">
        <v>95.1</v>
      </c>
      <c r="E176" s="32">
        <v>530.6</v>
      </c>
      <c r="F176" s="32">
        <v>495.9</v>
      </c>
      <c r="G176" s="32">
        <v>488.9</v>
      </c>
      <c r="H176" s="32">
        <v>482.4</v>
      </c>
      <c r="I176" s="32">
        <v>491.6</v>
      </c>
      <c r="J176" s="32">
        <v>496.1</v>
      </c>
      <c r="K176" s="32">
        <v>483.9</v>
      </c>
      <c r="L176" s="32">
        <v>491.7</v>
      </c>
      <c r="M176" s="32">
        <v>488.6</v>
      </c>
      <c r="N176" s="32">
        <v>496.4</v>
      </c>
      <c r="O176" s="32">
        <v>507</v>
      </c>
      <c r="P176" s="32">
        <v>518.4</v>
      </c>
      <c r="Q176" s="32">
        <v>526.5</v>
      </c>
      <c r="R176" s="32">
        <v>529.5</v>
      </c>
      <c r="S176" s="32">
        <v>510.9</v>
      </c>
      <c r="AI176" s="32">
        <v>91.85</v>
      </c>
    </row>
    <row r="177" s="32" customFormat="1" customHeight="1" spans="1:35">
      <c r="A177" s="31">
        <v>45962</v>
      </c>
      <c r="B177" s="32" t="s">
        <v>179</v>
      </c>
      <c r="C177" s="32">
        <v>142.14</v>
      </c>
      <c r="D177" s="32">
        <v>100</v>
      </c>
      <c r="E177" s="32">
        <v>537.6</v>
      </c>
      <c r="F177" s="32">
        <v>514.5</v>
      </c>
      <c r="G177" s="32">
        <v>509.1</v>
      </c>
      <c r="H177" s="32">
        <v>508.1</v>
      </c>
      <c r="I177" s="32">
        <v>515.4</v>
      </c>
      <c r="J177" s="32">
        <v>514.5</v>
      </c>
      <c r="K177" s="32">
        <v>512.7</v>
      </c>
      <c r="L177" s="32">
        <v>515.4</v>
      </c>
      <c r="M177" s="32">
        <v>519.5</v>
      </c>
      <c r="N177" s="32">
        <v>525</v>
      </c>
      <c r="O177" s="32">
        <v>526.2</v>
      </c>
      <c r="P177" s="32">
        <v>528.4</v>
      </c>
      <c r="Q177" s="32">
        <v>534.8</v>
      </c>
      <c r="R177" s="32">
        <v>538.6</v>
      </c>
      <c r="S177" s="32">
        <v>522.7</v>
      </c>
      <c r="AI177" s="32">
        <v>93.04</v>
      </c>
    </row>
    <row r="178" s="32" customFormat="1" customHeight="1" spans="1:35">
      <c r="A178" s="31">
        <v>45962</v>
      </c>
      <c r="B178" s="32" t="s">
        <v>180</v>
      </c>
      <c r="C178" s="32">
        <v>142.14</v>
      </c>
      <c r="D178" s="32">
        <v>96.5</v>
      </c>
      <c r="E178" s="32">
        <v>546.6</v>
      </c>
      <c r="F178" s="32">
        <v>510.1</v>
      </c>
      <c r="G178" s="32">
        <v>500</v>
      </c>
      <c r="H178" s="32">
        <v>499.1</v>
      </c>
      <c r="I178" s="32">
        <v>501.6</v>
      </c>
      <c r="J178" s="32">
        <v>506.7</v>
      </c>
      <c r="K178" s="32">
        <v>495.1</v>
      </c>
      <c r="L178" s="32">
        <v>500.1</v>
      </c>
      <c r="M178" s="32">
        <v>502</v>
      </c>
      <c r="N178" s="32">
        <v>515.9</v>
      </c>
      <c r="O178" s="32">
        <v>514.3</v>
      </c>
      <c r="P178" s="32">
        <v>532.5</v>
      </c>
      <c r="Q178" s="32">
        <v>558.7</v>
      </c>
      <c r="R178" s="32">
        <v>560.3</v>
      </c>
      <c r="S178" s="32">
        <v>526.8</v>
      </c>
      <c r="AI178" s="32">
        <v>90.39</v>
      </c>
    </row>
    <row r="179" s="32" customFormat="1" customHeight="1" spans="1:35">
      <c r="A179" s="31">
        <v>45962</v>
      </c>
      <c r="B179" s="32" t="s">
        <v>181</v>
      </c>
      <c r="C179" s="32">
        <v>142.13</v>
      </c>
      <c r="D179" s="32">
        <v>101.7</v>
      </c>
      <c r="E179" s="32">
        <v>561.8</v>
      </c>
      <c r="F179" s="32">
        <v>530.8</v>
      </c>
      <c r="G179" s="32">
        <v>523.9</v>
      </c>
      <c r="H179" s="32">
        <v>522.7</v>
      </c>
      <c r="I179" s="32">
        <v>526</v>
      </c>
      <c r="J179" s="32">
        <v>530.6</v>
      </c>
      <c r="K179" s="32">
        <v>521</v>
      </c>
      <c r="L179" s="32">
        <v>520.6</v>
      </c>
      <c r="M179" s="32">
        <v>526.8</v>
      </c>
      <c r="N179" s="32">
        <v>542.2</v>
      </c>
      <c r="O179" s="32">
        <v>545.3</v>
      </c>
      <c r="P179" s="32">
        <v>558.4</v>
      </c>
      <c r="Q179" s="32">
        <v>553.7</v>
      </c>
      <c r="R179" s="32">
        <v>556.4</v>
      </c>
      <c r="S179" s="32">
        <v>537.9</v>
      </c>
      <c r="AI179" s="32">
        <v>91.86</v>
      </c>
    </row>
    <row r="180" s="32" customFormat="1" customHeight="1" spans="1:35">
      <c r="A180" s="31">
        <v>45962</v>
      </c>
      <c r="B180" s="32" t="s">
        <v>182</v>
      </c>
      <c r="C180" s="32">
        <v>142.11</v>
      </c>
      <c r="D180" s="32">
        <v>96</v>
      </c>
      <c r="E180" s="32">
        <v>540.3</v>
      </c>
      <c r="F180" s="32">
        <v>512.6</v>
      </c>
      <c r="G180" s="32">
        <v>490.7</v>
      </c>
      <c r="H180" s="32">
        <v>494.5</v>
      </c>
      <c r="I180" s="32">
        <v>503.2</v>
      </c>
      <c r="J180" s="32">
        <v>505.1</v>
      </c>
      <c r="K180" s="32">
        <v>491.5</v>
      </c>
      <c r="L180" s="32">
        <v>500.4</v>
      </c>
      <c r="M180" s="32">
        <v>495.1</v>
      </c>
      <c r="N180" s="32">
        <v>502.7</v>
      </c>
      <c r="O180" s="32">
        <v>524</v>
      </c>
      <c r="P180" s="32">
        <v>527.3</v>
      </c>
      <c r="Q180" s="32">
        <v>543.2</v>
      </c>
      <c r="R180" s="32">
        <v>549.3</v>
      </c>
      <c r="S180" s="32">
        <v>534</v>
      </c>
      <c r="AI180" s="32">
        <v>90.59</v>
      </c>
    </row>
    <row r="181" s="32" customFormat="1" customHeight="1" spans="1:35">
      <c r="A181" s="31">
        <v>45962</v>
      </c>
      <c r="B181" s="32" t="s">
        <v>183</v>
      </c>
      <c r="C181" s="32">
        <v>142.17</v>
      </c>
      <c r="D181" s="32">
        <v>98.8</v>
      </c>
      <c r="E181" s="32">
        <v>534.1</v>
      </c>
      <c r="F181" s="32">
        <v>514.6</v>
      </c>
      <c r="G181" s="32">
        <v>506.9</v>
      </c>
      <c r="H181" s="32">
        <v>506.3</v>
      </c>
      <c r="I181" s="32">
        <v>516.4</v>
      </c>
      <c r="J181" s="32">
        <v>516</v>
      </c>
      <c r="K181" s="32">
        <v>508.5</v>
      </c>
      <c r="L181" s="32">
        <v>508.8</v>
      </c>
      <c r="M181" s="32">
        <v>513.9</v>
      </c>
      <c r="N181" s="32">
        <v>521</v>
      </c>
      <c r="O181" s="32">
        <v>542.8</v>
      </c>
      <c r="P181" s="32">
        <v>528.4</v>
      </c>
      <c r="Q181" s="32">
        <v>524.6</v>
      </c>
      <c r="R181" s="32">
        <v>527.4</v>
      </c>
      <c r="S181" s="32">
        <v>508.7</v>
      </c>
      <c r="AI181" s="32">
        <v>92.42</v>
      </c>
    </row>
    <row r="182" s="32" customFormat="1" customHeight="1" spans="1:35">
      <c r="A182" s="31">
        <v>45962</v>
      </c>
      <c r="B182" s="32" t="s">
        <v>184</v>
      </c>
      <c r="C182" s="32">
        <v>142.11</v>
      </c>
      <c r="D182" s="32">
        <v>98.6</v>
      </c>
      <c r="E182" s="32">
        <v>560.2</v>
      </c>
      <c r="F182" s="32">
        <v>527.1</v>
      </c>
      <c r="G182" s="32">
        <v>510.4</v>
      </c>
      <c r="H182" s="32">
        <v>512.3</v>
      </c>
      <c r="I182" s="32">
        <v>512.7</v>
      </c>
      <c r="J182" s="32">
        <v>521.8</v>
      </c>
      <c r="K182" s="32">
        <v>499.3</v>
      </c>
      <c r="L182" s="32">
        <v>510.3</v>
      </c>
      <c r="M182" s="32">
        <v>511.9</v>
      </c>
      <c r="N182" s="32">
        <v>512.6</v>
      </c>
      <c r="O182" s="32">
        <v>523.3</v>
      </c>
      <c r="P182" s="32">
        <v>538.2</v>
      </c>
      <c r="Q182" s="32">
        <v>563.7</v>
      </c>
      <c r="R182" s="32">
        <v>564.5</v>
      </c>
      <c r="S182" s="32">
        <v>552.1</v>
      </c>
      <c r="AI182" s="32">
        <v>90.62</v>
      </c>
    </row>
    <row r="183" s="32" customFormat="1" customHeight="1" spans="1:35">
      <c r="A183" s="31">
        <v>45962</v>
      </c>
      <c r="B183" s="32" t="s">
        <v>185</v>
      </c>
      <c r="C183" s="32">
        <v>142.13</v>
      </c>
      <c r="D183" s="32">
        <v>98.4</v>
      </c>
      <c r="E183" s="32">
        <v>537.3</v>
      </c>
      <c r="F183" s="32">
        <v>522</v>
      </c>
      <c r="G183" s="32">
        <v>507</v>
      </c>
      <c r="H183" s="32">
        <v>502.1</v>
      </c>
      <c r="I183" s="32">
        <v>511.3</v>
      </c>
      <c r="J183" s="32">
        <v>509.9</v>
      </c>
      <c r="K183" s="32">
        <v>503.5</v>
      </c>
      <c r="L183" s="32">
        <v>507.2</v>
      </c>
      <c r="M183" s="32">
        <v>515.7</v>
      </c>
      <c r="N183" s="32">
        <v>515.3</v>
      </c>
      <c r="O183" s="32">
        <v>538.7</v>
      </c>
      <c r="P183" s="32">
        <v>540.8</v>
      </c>
      <c r="Q183" s="32">
        <v>540.3</v>
      </c>
      <c r="R183" s="32">
        <v>546.4</v>
      </c>
      <c r="S183" s="32">
        <v>528.4</v>
      </c>
      <c r="AI183" s="32">
        <v>91.52</v>
      </c>
    </row>
    <row r="184" s="32" customFormat="1" customHeight="1" spans="1:35">
      <c r="A184" s="31">
        <v>45962</v>
      </c>
      <c r="B184" s="32" t="s">
        <v>186</v>
      </c>
      <c r="C184" s="32">
        <v>142.14</v>
      </c>
      <c r="D184" s="32">
        <v>99.2</v>
      </c>
      <c r="E184" s="32">
        <v>561.6</v>
      </c>
      <c r="F184" s="32">
        <v>531.4</v>
      </c>
      <c r="G184" s="32">
        <v>514.3</v>
      </c>
      <c r="H184" s="32">
        <v>510.4</v>
      </c>
      <c r="I184" s="32">
        <v>521</v>
      </c>
      <c r="J184" s="32">
        <v>520.5</v>
      </c>
      <c r="K184" s="32">
        <v>509.4</v>
      </c>
      <c r="L184" s="32">
        <v>513.6</v>
      </c>
      <c r="M184" s="32">
        <v>517.2</v>
      </c>
      <c r="N184" s="32">
        <v>514.2</v>
      </c>
      <c r="O184" s="32">
        <v>523</v>
      </c>
      <c r="P184" s="32">
        <v>541.1</v>
      </c>
      <c r="Q184" s="32">
        <v>565.5</v>
      </c>
      <c r="R184" s="32">
        <v>566.6</v>
      </c>
      <c r="S184" s="32">
        <v>557.2</v>
      </c>
      <c r="AI184" s="32">
        <v>90.71</v>
      </c>
    </row>
    <row r="185" s="32" customFormat="1" customHeight="1" spans="1:35">
      <c r="A185" s="31">
        <v>45962</v>
      </c>
      <c r="B185" s="32" t="s">
        <v>187</v>
      </c>
      <c r="C185" s="32">
        <v>142.15</v>
      </c>
      <c r="D185" s="32">
        <v>95.2</v>
      </c>
      <c r="E185" s="32">
        <v>522.9</v>
      </c>
      <c r="F185" s="32">
        <v>505.1</v>
      </c>
      <c r="G185" s="32">
        <v>488.9</v>
      </c>
      <c r="H185" s="32">
        <v>489.7</v>
      </c>
      <c r="I185" s="32">
        <v>498.1</v>
      </c>
      <c r="J185" s="32">
        <v>497.1</v>
      </c>
      <c r="K185" s="32">
        <v>488.6</v>
      </c>
      <c r="L185" s="32">
        <v>490.3</v>
      </c>
      <c r="M185" s="32">
        <v>487.1</v>
      </c>
      <c r="N185" s="32">
        <v>503.1</v>
      </c>
      <c r="O185" s="32">
        <v>512.5</v>
      </c>
      <c r="P185" s="32">
        <v>520.5</v>
      </c>
      <c r="Q185" s="32">
        <v>522</v>
      </c>
      <c r="R185" s="32">
        <v>522.2</v>
      </c>
      <c r="S185" s="32">
        <v>508.2</v>
      </c>
      <c r="AI185" s="32">
        <v>91.94</v>
      </c>
    </row>
    <row r="186" s="32" customFormat="1" customHeight="1" spans="1:35">
      <c r="A186" s="31">
        <v>45962</v>
      </c>
      <c r="B186" s="32" t="s">
        <v>188</v>
      </c>
      <c r="C186" s="32">
        <v>142.13</v>
      </c>
      <c r="D186" s="32">
        <v>97.5</v>
      </c>
      <c r="E186" s="32">
        <v>548.6</v>
      </c>
      <c r="F186" s="32">
        <v>522.5</v>
      </c>
      <c r="G186" s="32">
        <v>509.2</v>
      </c>
      <c r="H186" s="32">
        <v>504.8</v>
      </c>
      <c r="I186" s="32">
        <v>509.5</v>
      </c>
      <c r="J186" s="32">
        <v>514.1</v>
      </c>
      <c r="K186" s="32">
        <v>504.2</v>
      </c>
      <c r="L186" s="32">
        <v>507.1</v>
      </c>
      <c r="M186" s="32">
        <v>508.3</v>
      </c>
      <c r="N186" s="32">
        <v>509.6</v>
      </c>
      <c r="O186" s="32">
        <v>513.8</v>
      </c>
      <c r="P186" s="32">
        <v>517.5</v>
      </c>
      <c r="Q186" s="32">
        <v>548.7</v>
      </c>
      <c r="R186" s="32">
        <v>549.6</v>
      </c>
      <c r="S186" s="32">
        <v>544.8</v>
      </c>
      <c r="AI186" s="32">
        <v>90.84</v>
      </c>
    </row>
    <row r="187" s="32" customFormat="1" customHeight="1" spans="1:35">
      <c r="A187" s="31">
        <v>45962</v>
      </c>
      <c r="B187" s="32" t="s">
        <v>189</v>
      </c>
      <c r="C187" s="32">
        <v>142.1</v>
      </c>
      <c r="D187" s="32">
        <v>98.2</v>
      </c>
      <c r="E187" s="32">
        <v>535.3</v>
      </c>
      <c r="F187" s="32">
        <v>521.5</v>
      </c>
      <c r="G187" s="32">
        <v>507.9</v>
      </c>
      <c r="H187" s="32">
        <v>501.8</v>
      </c>
      <c r="I187" s="32">
        <v>506.9</v>
      </c>
      <c r="J187" s="32">
        <v>509.8</v>
      </c>
      <c r="K187" s="32">
        <v>505.2</v>
      </c>
      <c r="L187" s="32">
        <v>506.9</v>
      </c>
      <c r="M187" s="32">
        <v>513.1</v>
      </c>
      <c r="N187" s="32">
        <v>522.3</v>
      </c>
      <c r="O187" s="32">
        <v>531</v>
      </c>
      <c r="P187" s="32">
        <v>541</v>
      </c>
      <c r="Q187" s="32">
        <v>540.1</v>
      </c>
      <c r="R187" s="32">
        <v>549.3</v>
      </c>
      <c r="S187" s="32">
        <v>527.8</v>
      </c>
      <c r="AI187" s="32">
        <v>91.42</v>
      </c>
    </row>
    <row r="188" s="32" customFormat="1" customHeight="1" spans="1:35">
      <c r="A188" s="31">
        <v>45962</v>
      </c>
      <c r="B188" s="32" t="s">
        <v>190</v>
      </c>
      <c r="C188" s="32">
        <v>142.17</v>
      </c>
      <c r="D188" s="32">
        <v>95.7</v>
      </c>
      <c r="E188" s="32">
        <v>541.8</v>
      </c>
      <c r="F188" s="32">
        <v>517.8</v>
      </c>
      <c r="G188" s="32">
        <v>507.4</v>
      </c>
      <c r="H188" s="32">
        <v>495.7</v>
      </c>
      <c r="I188" s="32">
        <v>504.4</v>
      </c>
      <c r="J188" s="32">
        <v>511.6</v>
      </c>
      <c r="K188" s="32">
        <v>495.9</v>
      </c>
      <c r="L188" s="32">
        <v>506.2</v>
      </c>
      <c r="M188" s="32">
        <v>505.6</v>
      </c>
      <c r="N188" s="32">
        <v>502.8</v>
      </c>
      <c r="O188" s="32">
        <v>503.1</v>
      </c>
      <c r="P188" s="32">
        <v>510.4</v>
      </c>
      <c r="Q188" s="32">
        <v>525.5</v>
      </c>
      <c r="R188" s="32">
        <v>535.6</v>
      </c>
      <c r="S188" s="32">
        <v>538.3</v>
      </c>
      <c r="AI188" s="32">
        <v>90.41</v>
      </c>
    </row>
    <row r="189" s="32" customFormat="1" customHeight="1" spans="1:35">
      <c r="A189" s="31">
        <v>45962</v>
      </c>
      <c r="B189" s="32" t="s">
        <v>191</v>
      </c>
      <c r="C189" s="32">
        <v>142.13</v>
      </c>
      <c r="D189" s="32">
        <v>94.2</v>
      </c>
      <c r="E189" s="32">
        <v>523.9</v>
      </c>
      <c r="F189" s="32">
        <v>505.7</v>
      </c>
      <c r="G189" s="32">
        <v>498.8</v>
      </c>
      <c r="H189" s="32">
        <v>483</v>
      </c>
      <c r="I189" s="32">
        <v>493.3</v>
      </c>
      <c r="J189" s="32">
        <v>502.2</v>
      </c>
      <c r="K189" s="32">
        <v>492.4</v>
      </c>
      <c r="L189" s="32">
        <v>500.1</v>
      </c>
      <c r="M189" s="32">
        <v>504.7</v>
      </c>
      <c r="N189" s="32">
        <v>493.8</v>
      </c>
      <c r="O189" s="32">
        <v>497.1</v>
      </c>
      <c r="P189" s="32">
        <v>497.5</v>
      </c>
      <c r="Q189" s="32">
        <v>511.9</v>
      </c>
      <c r="R189" s="32">
        <v>517.7</v>
      </c>
      <c r="S189" s="32">
        <v>524</v>
      </c>
      <c r="AI189" s="32">
        <v>90.86</v>
      </c>
    </row>
    <row r="190" s="32" customFormat="1" customHeight="1" spans="1:35">
      <c r="A190" s="31">
        <v>45962</v>
      </c>
      <c r="B190" s="32" t="s">
        <v>192</v>
      </c>
      <c r="C190" s="32">
        <v>142.12</v>
      </c>
      <c r="D190" s="32">
        <v>95.1</v>
      </c>
      <c r="E190" s="32">
        <v>540.1</v>
      </c>
      <c r="F190" s="32">
        <v>509.6</v>
      </c>
      <c r="G190" s="32">
        <v>498.8</v>
      </c>
      <c r="H190" s="32">
        <v>491.7</v>
      </c>
      <c r="I190" s="32">
        <v>507.6</v>
      </c>
      <c r="J190" s="32">
        <v>503</v>
      </c>
      <c r="K190" s="32">
        <v>500.8</v>
      </c>
      <c r="L190" s="32">
        <v>510.1</v>
      </c>
      <c r="M190" s="32">
        <v>504.6</v>
      </c>
      <c r="N190" s="32">
        <v>501.9</v>
      </c>
      <c r="O190" s="32">
        <v>501.4</v>
      </c>
      <c r="P190" s="32">
        <v>498.9</v>
      </c>
      <c r="Q190" s="32">
        <v>516</v>
      </c>
      <c r="R190" s="32">
        <v>526.9</v>
      </c>
      <c r="S190" s="32">
        <v>535.8</v>
      </c>
      <c r="AI190" s="32">
        <v>90.52</v>
      </c>
    </row>
    <row r="191" s="32" customFormat="1" customHeight="1" spans="1:35">
      <c r="A191" s="31">
        <v>45962</v>
      </c>
      <c r="B191" s="32" t="s">
        <v>192</v>
      </c>
      <c r="C191" s="32">
        <v>142.12</v>
      </c>
      <c r="D191" s="32">
        <v>95.1</v>
      </c>
      <c r="E191" s="32">
        <v>540.1</v>
      </c>
      <c r="F191" s="32">
        <v>509.6</v>
      </c>
      <c r="G191" s="32">
        <v>498.8</v>
      </c>
      <c r="H191" s="32">
        <v>491.7</v>
      </c>
      <c r="I191" s="32">
        <v>507.6</v>
      </c>
      <c r="J191" s="32">
        <v>503</v>
      </c>
      <c r="K191" s="32">
        <v>500.8</v>
      </c>
      <c r="L191" s="32">
        <v>510.1</v>
      </c>
      <c r="M191" s="32">
        <v>504.6</v>
      </c>
      <c r="N191" s="32">
        <v>501.9</v>
      </c>
      <c r="O191" s="32">
        <v>501.4</v>
      </c>
      <c r="P191" s="32">
        <v>498.9</v>
      </c>
      <c r="Q191" s="32">
        <v>516</v>
      </c>
      <c r="R191" s="32">
        <v>526.9</v>
      </c>
      <c r="S191" s="32">
        <v>535.8</v>
      </c>
      <c r="AI191" s="32">
        <v>90.52</v>
      </c>
    </row>
    <row r="192" s="32" customFormat="1" customHeight="1" spans="1:35">
      <c r="A192" s="31">
        <v>45962</v>
      </c>
      <c r="B192" s="32" t="s">
        <v>193</v>
      </c>
      <c r="C192" s="32">
        <v>142.17</v>
      </c>
      <c r="D192" s="32">
        <v>94.7</v>
      </c>
      <c r="E192" s="32">
        <v>530.9</v>
      </c>
      <c r="F192" s="32">
        <v>512.9</v>
      </c>
      <c r="G192" s="32">
        <v>498.5</v>
      </c>
      <c r="H192" s="32">
        <v>487</v>
      </c>
      <c r="I192" s="32">
        <v>502.5</v>
      </c>
      <c r="J192" s="32">
        <v>504.5</v>
      </c>
      <c r="K192" s="32">
        <v>506.1</v>
      </c>
      <c r="L192" s="32">
        <v>505.7</v>
      </c>
      <c r="M192" s="32">
        <v>503.7</v>
      </c>
      <c r="N192" s="32">
        <v>505.1</v>
      </c>
      <c r="O192" s="32">
        <v>504.3</v>
      </c>
      <c r="P192" s="32">
        <v>497.3</v>
      </c>
      <c r="Q192" s="32">
        <v>518.1</v>
      </c>
      <c r="R192" s="32">
        <v>521.3</v>
      </c>
      <c r="S192" s="32">
        <v>525.7</v>
      </c>
      <c r="AI192" s="32">
        <v>90.39</v>
      </c>
    </row>
    <row r="193" s="32" customFormat="1" customHeight="1" spans="1:35">
      <c r="A193" s="31">
        <v>45962</v>
      </c>
      <c r="B193" s="32" t="s">
        <v>194</v>
      </c>
      <c r="C193" s="32">
        <v>142.1</v>
      </c>
      <c r="D193" s="32">
        <v>100</v>
      </c>
      <c r="E193" s="32">
        <v>545.5</v>
      </c>
      <c r="F193" s="32">
        <v>519.8</v>
      </c>
      <c r="G193" s="32">
        <v>520.2</v>
      </c>
      <c r="H193" s="32">
        <v>513.9</v>
      </c>
      <c r="I193" s="32">
        <v>514.9</v>
      </c>
      <c r="J193" s="32">
        <v>520</v>
      </c>
      <c r="K193" s="32">
        <v>523</v>
      </c>
      <c r="L193" s="32">
        <v>524.4</v>
      </c>
      <c r="M193" s="32">
        <v>526.8</v>
      </c>
      <c r="N193" s="32">
        <v>525.4</v>
      </c>
      <c r="O193" s="32">
        <v>536.8</v>
      </c>
      <c r="P193" s="32">
        <v>538.5</v>
      </c>
      <c r="Q193" s="32">
        <v>527.7</v>
      </c>
      <c r="R193" s="32">
        <v>554.7</v>
      </c>
      <c r="S193" s="32">
        <v>530.1</v>
      </c>
      <c r="AI193" s="32">
        <v>91.9</v>
      </c>
    </row>
    <row r="194" s="32" customFormat="1" customHeight="1" spans="1:35">
      <c r="A194" s="31">
        <v>45962</v>
      </c>
      <c r="B194" s="32" t="s">
        <v>195</v>
      </c>
      <c r="C194" s="32">
        <v>142.15</v>
      </c>
      <c r="D194" s="32">
        <v>98.7</v>
      </c>
      <c r="E194" s="32">
        <v>534.2</v>
      </c>
      <c r="F194" s="32">
        <v>519.2</v>
      </c>
      <c r="G194" s="32">
        <v>514.9</v>
      </c>
      <c r="H194" s="32">
        <v>521.2</v>
      </c>
      <c r="I194" s="32">
        <v>516.2</v>
      </c>
      <c r="J194" s="32">
        <v>517.1</v>
      </c>
      <c r="K194" s="32">
        <v>515.1</v>
      </c>
      <c r="L194" s="32">
        <v>519.5</v>
      </c>
      <c r="M194" s="32">
        <v>523.6</v>
      </c>
      <c r="N194" s="32">
        <v>528</v>
      </c>
      <c r="O194" s="32">
        <v>532.4</v>
      </c>
      <c r="P194" s="32">
        <v>543.1</v>
      </c>
      <c r="Q194" s="32">
        <v>527.3</v>
      </c>
      <c r="R194" s="32">
        <v>531.5</v>
      </c>
      <c r="S194" s="32">
        <v>516.3</v>
      </c>
      <c r="AI194" s="32">
        <v>91.39</v>
      </c>
    </row>
    <row r="195" s="32" customFormat="1" customHeight="1" spans="1:35">
      <c r="A195" s="31">
        <v>45962</v>
      </c>
      <c r="B195" s="32" t="s">
        <v>196</v>
      </c>
      <c r="C195" s="32">
        <v>142.13</v>
      </c>
      <c r="D195" s="32">
        <v>100</v>
      </c>
      <c r="E195" s="32">
        <v>543.1</v>
      </c>
      <c r="F195" s="32">
        <v>528.1</v>
      </c>
      <c r="G195" s="32">
        <v>513.3</v>
      </c>
      <c r="H195" s="32">
        <v>507.3</v>
      </c>
      <c r="I195" s="32">
        <v>515</v>
      </c>
      <c r="J195" s="32">
        <v>522.5</v>
      </c>
      <c r="K195" s="32">
        <v>515.7</v>
      </c>
      <c r="L195" s="32">
        <v>514.2</v>
      </c>
      <c r="M195" s="32">
        <v>516.2</v>
      </c>
      <c r="N195" s="32">
        <v>529.1</v>
      </c>
      <c r="O195" s="32">
        <v>542.5</v>
      </c>
      <c r="P195" s="32">
        <v>551.5</v>
      </c>
      <c r="Q195" s="32">
        <v>543</v>
      </c>
      <c r="R195" s="32">
        <v>555.2</v>
      </c>
      <c r="S195" s="32">
        <v>531.5</v>
      </c>
      <c r="AI195" s="32">
        <v>91.8</v>
      </c>
    </row>
    <row r="196" s="61" customFormat="1" customHeight="1" spans="1:35">
      <c r="A196" s="65">
        <v>45963</v>
      </c>
      <c r="B196" s="61" t="s">
        <v>197</v>
      </c>
      <c r="C196" s="61">
        <v>142.05</v>
      </c>
      <c r="D196" s="61">
        <v>97.6</v>
      </c>
      <c r="E196" s="61">
        <v>541.3</v>
      </c>
      <c r="F196" s="61">
        <v>513.4</v>
      </c>
      <c r="G196" s="61">
        <v>505</v>
      </c>
      <c r="H196" s="61">
        <v>498.2</v>
      </c>
      <c r="I196" s="61">
        <v>502</v>
      </c>
      <c r="J196" s="61">
        <v>513.1</v>
      </c>
      <c r="K196" s="61">
        <v>501.8</v>
      </c>
      <c r="L196" s="61">
        <v>507.7</v>
      </c>
      <c r="M196" s="61">
        <v>508.6</v>
      </c>
      <c r="N196" s="61">
        <v>514.7</v>
      </c>
      <c r="O196" s="61">
        <v>524.6</v>
      </c>
      <c r="P196" s="61">
        <v>550.9</v>
      </c>
      <c r="Q196" s="61">
        <v>537.8</v>
      </c>
      <c r="R196" s="61">
        <v>540.6</v>
      </c>
      <c r="S196" s="61">
        <v>523.5</v>
      </c>
      <c r="AI196" s="61">
        <v>91.32</v>
      </c>
    </row>
    <row r="197" s="61" customFormat="1" customHeight="1" spans="1:35">
      <c r="A197" s="65">
        <v>45963</v>
      </c>
      <c r="B197" s="61" t="s">
        <v>198</v>
      </c>
      <c r="C197" s="61">
        <v>142.12</v>
      </c>
      <c r="D197" s="61">
        <v>100</v>
      </c>
      <c r="E197" s="61">
        <v>558.8</v>
      </c>
      <c r="F197" s="61">
        <v>536.9</v>
      </c>
      <c r="G197" s="61">
        <v>518</v>
      </c>
      <c r="H197" s="61">
        <v>510.1</v>
      </c>
      <c r="I197" s="61">
        <v>520.8</v>
      </c>
      <c r="J197" s="61">
        <v>520.9</v>
      </c>
      <c r="K197" s="61">
        <v>512.7</v>
      </c>
      <c r="L197" s="61">
        <v>512.2</v>
      </c>
      <c r="M197" s="61">
        <v>522.4</v>
      </c>
      <c r="N197" s="61">
        <v>518.5</v>
      </c>
      <c r="O197" s="61">
        <v>526.8</v>
      </c>
      <c r="P197" s="61">
        <v>537.8</v>
      </c>
      <c r="Q197" s="61">
        <v>567.9</v>
      </c>
      <c r="R197" s="61">
        <v>572.9</v>
      </c>
      <c r="S197" s="61">
        <v>557.5</v>
      </c>
      <c r="AI197" s="61">
        <v>91.05</v>
      </c>
    </row>
    <row r="198" s="61" customFormat="1" customHeight="1" spans="1:35">
      <c r="A198" s="65">
        <v>45963</v>
      </c>
      <c r="B198" s="61" t="s">
        <v>199</v>
      </c>
      <c r="C198" s="61">
        <v>142.1</v>
      </c>
      <c r="D198" s="61">
        <v>95.4</v>
      </c>
      <c r="E198" s="61">
        <v>542.6</v>
      </c>
      <c r="F198" s="61">
        <v>497.9</v>
      </c>
      <c r="G198" s="61">
        <v>493.2</v>
      </c>
      <c r="H198" s="61">
        <v>487.7</v>
      </c>
      <c r="I198" s="61">
        <v>498.8</v>
      </c>
      <c r="J198" s="61">
        <v>500</v>
      </c>
      <c r="K198" s="61">
        <v>490.7</v>
      </c>
      <c r="L198" s="61">
        <v>501.4</v>
      </c>
      <c r="M198" s="61">
        <v>496.1</v>
      </c>
      <c r="N198" s="61">
        <v>505.6</v>
      </c>
      <c r="O198" s="61">
        <v>514.8</v>
      </c>
      <c r="P198" s="61">
        <v>524.1</v>
      </c>
      <c r="Q198" s="61">
        <v>538.9</v>
      </c>
      <c r="R198" s="61">
        <v>550.3</v>
      </c>
      <c r="S198" s="61">
        <v>517.1</v>
      </c>
      <c r="AI198" s="61">
        <v>90.68</v>
      </c>
    </row>
    <row r="199" s="61" customFormat="1" customHeight="1" spans="1:35">
      <c r="A199" s="65">
        <v>45963</v>
      </c>
      <c r="B199" s="61" t="s">
        <v>200</v>
      </c>
      <c r="C199" s="61">
        <v>142.11</v>
      </c>
      <c r="D199" s="61">
        <v>96.6</v>
      </c>
      <c r="E199" s="61">
        <v>545.3</v>
      </c>
      <c r="F199" s="61">
        <v>512.3</v>
      </c>
      <c r="G199" s="61">
        <v>498.1</v>
      </c>
      <c r="H199" s="61">
        <v>501</v>
      </c>
      <c r="I199" s="61">
        <v>507.1</v>
      </c>
      <c r="J199" s="61">
        <v>516.5</v>
      </c>
      <c r="K199" s="61">
        <v>491.6</v>
      </c>
      <c r="L199" s="61">
        <v>500.9</v>
      </c>
      <c r="M199" s="61">
        <v>504.1</v>
      </c>
      <c r="N199" s="61">
        <v>506.6</v>
      </c>
      <c r="O199" s="61">
        <v>516.6</v>
      </c>
      <c r="P199" s="61">
        <v>530.2</v>
      </c>
      <c r="Q199" s="61">
        <v>546.8</v>
      </c>
      <c r="R199" s="61">
        <v>551.2</v>
      </c>
      <c r="S199" s="61">
        <v>526.6</v>
      </c>
      <c r="AI199" s="61">
        <v>90.68</v>
      </c>
    </row>
    <row r="200" s="61" customFormat="1" customHeight="1" spans="1:35">
      <c r="A200" s="65">
        <v>45963</v>
      </c>
      <c r="B200" s="61" t="s">
        <v>201</v>
      </c>
      <c r="C200" s="61">
        <v>142.07</v>
      </c>
      <c r="D200" s="61">
        <v>96.8</v>
      </c>
      <c r="E200" s="61">
        <v>548.7</v>
      </c>
      <c r="F200" s="61">
        <v>510</v>
      </c>
      <c r="G200" s="61">
        <v>501.9</v>
      </c>
      <c r="H200" s="61">
        <v>501.3</v>
      </c>
      <c r="I200" s="61">
        <v>509</v>
      </c>
      <c r="J200" s="61">
        <v>512.9</v>
      </c>
      <c r="K200" s="61">
        <v>500.6</v>
      </c>
      <c r="L200" s="61">
        <v>506</v>
      </c>
      <c r="M200" s="61">
        <v>505.8</v>
      </c>
      <c r="N200" s="61">
        <v>515.9</v>
      </c>
      <c r="O200" s="61">
        <v>519.9</v>
      </c>
      <c r="P200" s="61">
        <v>538.1</v>
      </c>
      <c r="Q200" s="61">
        <v>561</v>
      </c>
      <c r="R200" s="61">
        <v>552.9</v>
      </c>
      <c r="S200" s="61">
        <v>528.3</v>
      </c>
      <c r="AI200" s="61">
        <v>90.22</v>
      </c>
    </row>
    <row r="201" s="61" customFormat="1" customHeight="1" spans="1:35">
      <c r="A201" s="65">
        <v>45963</v>
      </c>
      <c r="B201" s="61" t="s">
        <v>202</v>
      </c>
      <c r="C201" s="61">
        <v>141.94</v>
      </c>
      <c r="D201" s="61">
        <v>103</v>
      </c>
      <c r="E201" s="61">
        <v>593.5</v>
      </c>
      <c r="F201" s="61">
        <v>559.7</v>
      </c>
      <c r="G201" s="61">
        <v>556.7</v>
      </c>
      <c r="H201" s="61">
        <v>554.8</v>
      </c>
      <c r="I201" s="61">
        <v>549</v>
      </c>
      <c r="J201" s="61">
        <v>553.8</v>
      </c>
      <c r="K201" s="61">
        <v>532</v>
      </c>
      <c r="L201" s="61">
        <v>530.2</v>
      </c>
      <c r="M201" s="61">
        <v>530.6</v>
      </c>
      <c r="N201" s="61">
        <v>540.4</v>
      </c>
      <c r="O201" s="61">
        <v>537.6</v>
      </c>
      <c r="P201" s="61">
        <v>539.5</v>
      </c>
      <c r="Q201" s="61">
        <v>568.8</v>
      </c>
      <c r="R201" s="61">
        <v>569.3</v>
      </c>
      <c r="S201" s="61">
        <v>591</v>
      </c>
      <c r="AI201" s="61">
        <v>90.37</v>
      </c>
    </row>
    <row r="202" s="61" customFormat="1" customHeight="1" spans="1:35">
      <c r="A202" s="65">
        <v>45963</v>
      </c>
      <c r="B202" s="61" t="s">
        <v>203</v>
      </c>
      <c r="C202" s="61">
        <v>142.13</v>
      </c>
      <c r="D202" s="61">
        <v>99</v>
      </c>
      <c r="E202" s="61">
        <v>563.2</v>
      </c>
      <c r="F202" s="61">
        <v>528.3</v>
      </c>
      <c r="G202" s="61">
        <v>509.4</v>
      </c>
      <c r="H202" s="61">
        <v>514.7</v>
      </c>
      <c r="I202" s="61">
        <v>514</v>
      </c>
      <c r="J202" s="61">
        <v>529.4</v>
      </c>
      <c r="K202" s="61">
        <v>501.5</v>
      </c>
      <c r="L202" s="61">
        <v>512.7</v>
      </c>
      <c r="M202" s="61">
        <v>510.6</v>
      </c>
      <c r="N202" s="61">
        <v>515.2</v>
      </c>
      <c r="O202" s="61">
        <v>524.5</v>
      </c>
      <c r="P202" s="61">
        <v>537.8</v>
      </c>
      <c r="Q202" s="61">
        <v>568.7</v>
      </c>
      <c r="R202" s="61">
        <v>573.5</v>
      </c>
      <c r="S202" s="61">
        <v>560.4</v>
      </c>
      <c r="AI202" s="61">
        <v>90.48</v>
      </c>
    </row>
    <row r="203" s="61" customFormat="1" customHeight="1" spans="1:35">
      <c r="A203" s="65">
        <v>45963</v>
      </c>
      <c r="B203" s="61" t="s">
        <v>204</v>
      </c>
      <c r="C203" s="61">
        <v>141.95</v>
      </c>
      <c r="D203" s="61">
        <v>99</v>
      </c>
      <c r="E203" s="61">
        <v>584.9</v>
      </c>
      <c r="F203" s="61">
        <v>534</v>
      </c>
      <c r="G203" s="61">
        <v>528.1</v>
      </c>
      <c r="H203" s="61">
        <v>523.6</v>
      </c>
      <c r="I203" s="61">
        <v>524.2</v>
      </c>
      <c r="J203" s="61">
        <v>518.3</v>
      </c>
      <c r="K203" s="61">
        <v>512.6</v>
      </c>
      <c r="L203" s="61">
        <v>508.3</v>
      </c>
      <c r="M203" s="61">
        <v>505.9</v>
      </c>
      <c r="N203" s="61">
        <v>516.8</v>
      </c>
      <c r="O203" s="61">
        <v>521.8</v>
      </c>
      <c r="P203" s="61">
        <v>518.9</v>
      </c>
      <c r="Q203" s="61">
        <v>538.3</v>
      </c>
      <c r="R203" s="61">
        <v>549</v>
      </c>
      <c r="S203" s="61">
        <v>577.8</v>
      </c>
      <c r="AI203" s="61">
        <v>90.61</v>
      </c>
    </row>
    <row r="204" s="61" customFormat="1" customHeight="1" spans="1:35">
      <c r="A204" s="65">
        <v>45963</v>
      </c>
      <c r="B204" s="68" t="s">
        <v>205</v>
      </c>
      <c r="C204" s="61">
        <v>142.12</v>
      </c>
      <c r="D204" s="61">
        <v>95.7</v>
      </c>
      <c r="E204" s="61">
        <v>538.8</v>
      </c>
      <c r="F204" s="61">
        <v>520.2</v>
      </c>
      <c r="G204" s="61">
        <v>507.8</v>
      </c>
      <c r="H204" s="61">
        <v>504.3</v>
      </c>
      <c r="I204" s="61">
        <v>511.1</v>
      </c>
      <c r="J204" s="61">
        <v>515.4</v>
      </c>
      <c r="K204" s="61">
        <v>498.8</v>
      </c>
      <c r="L204" s="61">
        <v>507.4</v>
      </c>
      <c r="M204" s="61">
        <v>507.2</v>
      </c>
      <c r="N204" s="61">
        <v>512</v>
      </c>
      <c r="O204" s="61">
        <v>503.9</v>
      </c>
      <c r="P204" s="61">
        <v>514.5</v>
      </c>
      <c r="Q204" s="61">
        <v>529.3</v>
      </c>
      <c r="R204" s="61">
        <v>538.2</v>
      </c>
      <c r="S204" s="61">
        <v>537.9</v>
      </c>
      <c r="AI204" s="61">
        <v>89.92</v>
      </c>
    </row>
    <row r="205" s="61" customFormat="1" customHeight="1" spans="1:35">
      <c r="A205" s="65">
        <v>45963</v>
      </c>
      <c r="B205" s="61" t="s">
        <v>206</v>
      </c>
      <c r="C205" s="61">
        <v>142.12</v>
      </c>
      <c r="D205" s="61">
        <v>97.6</v>
      </c>
      <c r="E205" s="61">
        <v>562.3</v>
      </c>
      <c r="F205" s="61">
        <v>533</v>
      </c>
      <c r="G205" s="61">
        <v>524.2</v>
      </c>
      <c r="H205" s="61">
        <v>518.6</v>
      </c>
      <c r="I205" s="61">
        <v>519.9</v>
      </c>
      <c r="J205" s="61">
        <v>515.6</v>
      </c>
      <c r="K205" s="61">
        <v>514.9</v>
      </c>
      <c r="L205" s="61">
        <v>505.4</v>
      </c>
      <c r="M205" s="61">
        <v>502.3</v>
      </c>
      <c r="N205" s="61">
        <v>509</v>
      </c>
      <c r="O205" s="61">
        <v>515.8</v>
      </c>
      <c r="P205" s="61">
        <v>522.5</v>
      </c>
      <c r="Q205" s="61">
        <v>531.2</v>
      </c>
      <c r="R205" s="61">
        <v>541.8</v>
      </c>
      <c r="S205" s="61">
        <v>581.9</v>
      </c>
      <c r="AI205" s="61">
        <v>89.95</v>
      </c>
    </row>
    <row r="206" s="61" customFormat="1" customHeight="1" spans="1:35">
      <c r="A206" s="65">
        <v>45963</v>
      </c>
      <c r="B206" s="61" t="s">
        <v>207</v>
      </c>
      <c r="C206" s="61">
        <v>142.07</v>
      </c>
      <c r="D206" s="61">
        <v>99</v>
      </c>
      <c r="E206" s="61">
        <v>556.5</v>
      </c>
      <c r="F206" s="61">
        <v>533.2</v>
      </c>
      <c r="G206" s="61">
        <v>528.2</v>
      </c>
      <c r="H206" s="61">
        <v>525.4</v>
      </c>
      <c r="I206" s="61">
        <v>523.4</v>
      </c>
      <c r="J206" s="61">
        <v>515.1</v>
      </c>
      <c r="K206" s="61">
        <v>512.5</v>
      </c>
      <c r="L206" s="61">
        <v>504.5</v>
      </c>
      <c r="M206" s="61">
        <v>501.1</v>
      </c>
      <c r="N206" s="61">
        <v>511</v>
      </c>
      <c r="O206" s="61">
        <v>519.8</v>
      </c>
      <c r="P206" s="61">
        <v>525</v>
      </c>
      <c r="Q206" s="61">
        <v>535.8</v>
      </c>
      <c r="R206" s="61">
        <v>551.2</v>
      </c>
      <c r="S206" s="61">
        <v>588.3</v>
      </c>
      <c r="AI206" s="61">
        <v>90.89</v>
      </c>
    </row>
    <row r="207" s="61" customFormat="1" customHeight="1" spans="1:35">
      <c r="A207" s="65">
        <v>45963</v>
      </c>
      <c r="B207" s="61" t="s">
        <v>208</v>
      </c>
      <c r="C207" s="61">
        <v>142.07</v>
      </c>
      <c r="D207" s="61">
        <v>98.4</v>
      </c>
      <c r="E207" s="61">
        <v>547.5</v>
      </c>
      <c r="F207" s="61">
        <v>524.6</v>
      </c>
      <c r="G207" s="61">
        <v>507.9</v>
      </c>
      <c r="H207" s="61">
        <v>500.8</v>
      </c>
      <c r="I207" s="61">
        <v>511.1</v>
      </c>
      <c r="J207" s="61">
        <v>518.2</v>
      </c>
      <c r="K207" s="61">
        <v>502.3</v>
      </c>
      <c r="L207" s="61">
        <v>509.4</v>
      </c>
      <c r="M207" s="61">
        <v>512.3</v>
      </c>
      <c r="N207" s="61">
        <v>512.9</v>
      </c>
      <c r="O207" s="61">
        <v>518.1</v>
      </c>
      <c r="P207" s="61">
        <v>521.9</v>
      </c>
      <c r="Q207" s="61">
        <v>545</v>
      </c>
      <c r="R207" s="61">
        <v>555</v>
      </c>
      <c r="S207" s="61">
        <v>548.8</v>
      </c>
      <c r="AI207" s="61">
        <v>91.44</v>
      </c>
    </row>
    <row r="208" s="61" customFormat="1" customHeight="1" spans="1:35">
      <c r="A208" s="65">
        <v>45963</v>
      </c>
      <c r="B208" s="61" t="s">
        <v>209</v>
      </c>
      <c r="C208" s="61">
        <v>142.1</v>
      </c>
      <c r="D208" s="61">
        <v>95.4</v>
      </c>
      <c r="E208" s="61">
        <v>532.4</v>
      </c>
      <c r="F208" s="61">
        <v>510.9</v>
      </c>
      <c r="G208" s="61">
        <v>500.7</v>
      </c>
      <c r="H208" s="61">
        <v>494.2</v>
      </c>
      <c r="I208" s="61">
        <v>506.7</v>
      </c>
      <c r="J208" s="61">
        <v>506.5</v>
      </c>
      <c r="K208" s="61">
        <v>505.1</v>
      </c>
      <c r="L208" s="61">
        <v>509.6</v>
      </c>
      <c r="M208" s="61">
        <v>507.3</v>
      </c>
      <c r="N208" s="61">
        <v>507.5</v>
      </c>
      <c r="O208" s="61">
        <v>502.6</v>
      </c>
      <c r="P208" s="61">
        <v>499.7</v>
      </c>
      <c r="Q208" s="61">
        <v>516.9</v>
      </c>
      <c r="R208" s="61">
        <v>525.8</v>
      </c>
      <c r="S208" s="61">
        <v>533.1</v>
      </c>
      <c r="AI208" s="61">
        <v>90.68</v>
      </c>
    </row>
    <row r="209" s="61" customFormat="1" customHeight="1" spans="1:35">
      <c r="A209" s="65">
        <v>45963</v>
      </c>
      <c r="B209" s="61" t="s">
        <v>210</v>
      </c>
      <c r="C209" s="61">
        <v>142.03</v>
      </c>
      <c r="D209" s="61">
        <v>98.6</v>
      </c>
      <c r="E209" s="61">
        <v>562.2</v>
      </c>
      <c r="F209" s="61">
        <v>535.7</v>
      </c>
      <c r="G209" s="61">
        <v>527.5</v>
      </c>
      <c r="H209" s="61">
        <v>517.2</v>
      </c>
      <c r="I209" s="61">
        <v>539.3</v>
      </c>
      <c r="J209" s="61">
        <v>509.8</v>
      </c>
      <c r="K209" s="61">
        <v>511.5</v>
      </c>
      <c r="L209" s="61">
        <v>510.6</v>
      </c>
      <c r="M209" s="61">
        <v>511</v>
      </c>
      <c r="N209" s="61">
        <v>520.6</v>
      </c>
      <c r="O209" s="61">
        <v>528.3</v>
      </c>
      <c r="P209" s="61">
        <v>531.2</v>
      </c>
      <c r="Q209" s="61">
        <v>547.3</v>
      </c>
      <c r="R209" s="61">
        <v>559.5</v>
      </c>
      <c r="S209" s="61">
        <v>601.7</v>
      </c>
      <c r="AI209" s="61">
        <v>89.62</v>
      </c>
    </row>
    <row r="210" s="61" customFormat="1" customHeight="1" spans="1:35">
      <c r="A210" s="65">
        <v>45963</v>
      </c>
      <c r="B210" s="61" t="s">
        <v>211</v>
      </c>
      <c r="C210" s="61">
        <v>142.09</v>
      </c>
      <c r="D210" s="61">
        <v>98</v>
      </c>
      <c r="E210" s="61">
        <v>550.6</v>
      </c>
      <c r="F210" s="61">
        <v>524.5</v>
      </c>
      <c r="G210" s="61">
        <v>518.2</v>
      </c>
      <c r="H210" s="61">
        <v>509.1</v>
      </c>
      <c r="I210" s="61">
        <v>514</v>
      </c>
      <c r="J210" s="61">
        <v>506.3</v>
      </c>
      <c r="K210" s="61">
        <v>506.8</v>
      </c>
      <c r="L210" s="61">
        <v>505.7</v>
      </c>
      <c r="M210" s="61">
        <v>510.1</v>
      </c>
      <c r="N210" s="61">
        <v>544.7</v>
      </c>
      <c r="O210" s="61">
        <v>527.6</v>
      </c>
      <c r="P210" s="61">
        <v>519.8</v>
      </c>
      <c r="Q210" s="61">
        <v>529.3</v>
      </c>
      <c r="R210" s="61">
        <v>546.3</v>
      </c>
      <c r="S210" s="61">
        <v>577.2</v>
      </c>
      <c r="AI210" s="61">
        <v>90.43</v>
      </c>
    </row>
    <row r="211" s="61" customFormat="1" customHeight="1" spans="1:35">
      <c r="A211" s="65">
        <v>45963</v>
      </c>
      <c r="B211" s="68" t="s">
        <v>212</v>
      </c>
      <c r="C211" s="61">
        <v>142.13</v>
      </c>
      <c r="D211" s="61">
        <v>93.9</v>
      </c>
      <c r="E211" s="61">
        <v>523.9</v>
      </c>
      <c r="F211" s="61">
        <v>504.7</v>
      </c>
      <c r="G211" s="61">
        <v>495.4</v>
      </c>
      <c r="H211" s="61">
        <v>489.9</v>
      </c>
      <c r="I211" s="61">
        <v>496.3</v>
      </c>
      <c r="J211" s="61">
        <v>501.5</v>
      </c>
      <c r="K211" s="61">
        <v>494</v>
      </c>
      <c r="L211" s="61">
        <v>501.6</v>
      </c>
      <c r="M211" s="61">
        <v>500.7</v>
      </c>
      <c r="N211" s="61">
        <v>493.5</v>
      </c>
      <c r="O211" s="61">
        <v>497.9</v>
      </c>
      <c r="P211" s="61">
        <v>494.8</v>
      </c>
      <c r="Q211" s="61">
        <v>511</v>
      </c>
      <c r="R211" s="61">
        <v>522.6</v>
      </c>
      <c r="S211" s="61">
        <v>523.5</v>
      </c>
      <c r="AI211" s="61">
        <v>90.51</v>
      </c>
    </row>
    <row r="212" s="61" customFormat="1" customHeight="1" spans="1:35">
      <c r="A212" s="65">
        <v>45963</v>
      </c>
      <c r="B212" s="61" t="s">
        <v>213</v>
      </c>
      <c r="C212" s="61">
        <v>142.12</v>
      </c>
      <c r="D212" s="61">
        <v>95.6</v>
      </c>
      <c r="E212" s="61">
        <v>553.1</v>
      </c>
      <c r="F212" s="61">
        <v>523.2</v>
      </c>
      <c r="G212" s="61">
        <v>510.9</v>
      </c>
      <c r="H212" s="61">
        <v>505.2</v>
      </c>
      <c r="I212" s="61">
        <v>506.3</v>
      </c>
      <c r="J212" s="61">
        <v>502.9</v>
      </c>
      <c r="K212" s="61">
        <v>494.4</v>
      </c>
      <c r="L212" s="61">
        <v>499.2</v>
      </c>
      <c r="M212" s="61">
        <v>498.7</v>
      </c>
      <c r="N212" s="61">
        <v>511.1</v>
      </c>
      <c r="O212" s="61">
        <v>522</v>
      </c>
      <c r="P212" s="61">
        <v>508.1</v>
      </c>
      <c r="Q212" s="61">
        <v>522.2</v>
      </c>
      <c r="R212" s="61">
        <v>541.1</v>
      </c>
      <c r="S212" s="61">
        <v>567.5</v>
      </c>
      <c r="AI212" s="61">
        <v>89.61</v>
      </c>
    </row>
    <row r="213" s="61" customFormat="1" customHeight="1" spans="1:35">
      <c r="A213" s="65">
        <v>45963</v>
      </c>
      <c r="B213" s="61" t="s">
        <v>214</v>
      </c>
      <c r="C213" s="61">
        <v>142.03</v>
      </c>
      <c r="D213" s="61">
        <v>100.4</v>
      </c>
      <c r="E213" s="61">
        <v>592.5</v>
      </c>
      <c r="F213" s="61">
        <v>551.6</v>
      </c>
      <c r="G213" s="61">
        <v>558.7</v>
      </c>
      <c r="H213" s="61">
        <v>560.9</v>
      </c>
      <c r="I213" s="61">
        <v>549.1</v>
      </c>
      <c r="J213" s="61">
        <v>548.1</v>
      </c>
      <c r="K213" s="61">
        <v>527.6</v>
      </c>
      <c r="L213" s="61">
        <v>526.6</v>
      </c>
      <c r="M213" s="61">
        <v>533.4</v>
      </c>
      <c r="N213" s="61">
        <v>543.9</v>
      </c>
      <c r="O213" s="61">
        <v>540.4</v>
      </c>
      <c r="P213" s="61">
        <v>543.6</v>
      </c>
      <c r="Q213" s="61">
        <v>574.3</v>
      </c>
      <c r="R213" s="61">
        <v>564.4</v>
      </c>
      <c r="S213" s="61">
        <v>586.8</v>
      </c>
      <c r="AI213" s="61">
        <v>88.08</v>
      </c>
    </row>
    <row r="214" s="61" customFormat="1" customHeight="1" spans="1:35">
      <c r="A214" s="65">
        <v>45963</v>
      </c>
      <c r="B214" s="61" t="s">
        <v>215</v>
      </c>
      <c r="C214" s="61">
        <v>142.14</v>
      </c>
      <c r="D214" s="61">
        <v>93.2</v>
      </c>
      <c r="E214" s="61">
        <v>544.1</v>
      </c>
      <c r="F214" s="61">
        <v>508.8</v>
      </c>
      <c r="G214" s="61">
        <v>504.6</v>
      </c>
      <c r="H214" s="61">
        <v>488.9</v>
      </c>
      <c r="I214" s="61">
        <v>490.5</v>
      </c>
      <c r="J214" s="61">
        <v>493.5</v>
      </c>
      <c r="K214" s="61">
        <v>490.1</v>
      </c>
      <c r="L214" s="61">
        <v>511</v>
      </c>
      <c r="M214" s="61">
        <v>484.2</v>
      </c>
      <c r="N214" s="61">
        <v>493</v>
      </c>
      <c r="O214" s="61">
        <v>509.9</v>
      </c>
      <c r="P214" s="61">
        <v>496.4</v>
      </c>
      <c r="Q214" s="61">
        <v>505</v>
      </c>
      <c r="R214" s="61">
        <v>514.4</v>
      </c>
      <c r="S214" s="61">
        <v>539.5</v>
      </c>
      <c r="AI214" s="61">
        <v>89.56</v>
      </c>
    </row>
    <row r="215" s="61" customFormat="1" customHeight="1" spans="1:35">
      <c r="A215" s="65">
        <v>45968</v>
      </c>
      <c r="B215" s="61" t="s">
        <v>216</v>
      </c>
      <c r="C215" s="61">
        <v>170.17</v>
      </c>
      <c r="D215" s="61">
        <v>113</v>
      </c>
      <c r="E215" s="61">
        <v>465.8</v>
      </c>
      <c r="F215" s="61">
        <v>468.2</v>
      </c>
      <c r="G215" s="61">
        <v>479.6</v>
      </c>
      <c r="H215" s="61">
        <v>519.4</v>
      </c>
      <c r="I215" s="61">
        <v>491</v>
      </c>
      <c r="J215" s="61">
        <v>492.6</v>
      </c>
      <c r="K215" s="61">
        <v>498.8</v>
      </c>
      <c r="L215" s="61">
        <v>494.8</v>
      </c>
      <c r="M215" s="61">
        <v>501</v>
      </c>
      <c r="N215" s="61">
        <v>505.6</v>
      </c>
      <c r="O215" s="61">
        <v>501.7</v>
      </c>
      <c r="P215" s="61">
        <v>500.3</v>
      </c>
      <c r="Q215" s="61">
        <v>499.1</v>
      </c>
      <c r="R215" s="61">
        <v>497.4</v>
      </c>
      <c r="S215" s="61">
        <v>491.6</v>
      </c>
      <c r="T215" s="61">
        <v>485.9</v>
      </c>
      <c r="U215" s="61">
        <v>477</v>
      </c>
      <c r="V215" s="61">
        <v>483.7</v>
      </c>
      <c r="AI215" s="61">
        <v>93.11</v>
      </c>
    </row>
    <row r="216" s="61" customFormat="1" customHeight="1" spans="1:35">
      <c r="A216" s="65">
        <v>45968</v>
      </c>
      <c r="B216" s="61" t="s">
        <v>217</v>
      </c>
      <c r="C216" s="61">
        <v>170.14</v>
      </c>
      <c r="D216" s="61">
        <v>117.2</v>
      </c>
      <c r="E216" s="61">
        <v>491.3</v>
      </c>
      <c r="F216" s="61">
        <v>494.1</v>
      </c>
      <c r="G216" s="61">
        <v>502.6</v>
      </c>
      <c r="H216" s="61">
        <v>514.7</v>
      </c>
      <c r="I216" s="61">
        <v>528.5</v>
      </c>
      <c r="J216" s="61">
        <v>530.2</v>
      </c>
      <c r="K216" s="61">
        <v>530.6</v>
      </c>
      <c r="L216" s="61">
        <v>525.4</v>
      </c>
      <c r="M216" s="61">
        <v>527.7</v>
      </c>
      <c r="N216" s="61">
        <v>526.4</v>
      </c>
      <c r="O216" s="61">
        <v>527.9</v>
      </c>
      <c r="P216" s="61">
        <v>524.4</v>
      </c>
      <c r="Q216" s="61">
        <v>523.6</v>
      </c>
      <c r="R216" s="61">
        <v>513.5</v>
      </c>
      <c r="S216" s="61">
        <v>504.4</v>
      </c>
      <c r="T216" s="61">
        <v>500.9</v>
      </c>
      <c r="U216" s="61">
        <v>498.5</v>
      </c>
      <c r="V216" s="61">
        <v>501.9</v>
      </c>
      <c r="AI216" s="61">
        <v>92.28</v>
      </c>
    </row>
    <row r="217" s="61" customFormat="1" customHeight="1" spans="1:35">
      <c r="A217" s="65">
        <v>45968</v>
      </c>
      <c r="B217" s="61" t="s">
        <v>218</v>
      </c>
      <c r="C217" s="61">
        <v>170.19</v>
      </c>
      <c r="D217" s="61">
        <v>116.7</v>
      </c>
      <c r="E217" s="61">
        <v>490.6</v>
      </c>
      <c r="F217" s="61">
        <v>494.3</v>
      </c>
      <c r="G217" s="61">
        <v>504.9</v>
      </c>
      <c r="H217" s="61">
        <v>517.9</v>
      </c>
      <c r="I217" s="61">
        <v>530.3</v>
      </c>
      <c r="J217" s="61">
        <v>530.2</v>
      </c>
      <c r="K217" s="61">
        <v>533</v>
      </c>
      <c r="L217" s="61">
        <v>529.2</v>
      </c>
      <c r="M217" s="61">
        <v>525.7</v>
      </c>
      <c r="N217" s="61">
        <v>523.3</v>
      </c>
      <c r="O217" s="61">
        <v>529.8</v>
      </c>
      <c r="P217" s="61">
        <v>518.2</v>
      </c>
      <c r="Q217" s="61">
        <v>518.5</v>
      </c>
      <c r="R217" s="61">
        <v>507.8</v>
      </c>
      <c r="S217" s="61">
        <v>502.5</v>
      </c>
      <c r="T217" s="61">
        <v>497.2</v>
      </c>
      <c r="U217" s="61">
        <v>496.6</v>
      </c>
      <c r="V217" s="61">
        <v>516.5</v>
      </c>
      <c r="AI217" s="61">
        <v>91.86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32"/>
  <sheetViews>
    <sheetView workbookViewId="0">
      <selection activeCell="A2" sqref="A2:Q2"/>
    </sheetView>
  </sheetViews>
  <sheetFormatPr defaultColWidth="9" defaultRowHeight="14.4"/>
  <cols>
    <col min="1" max="1" width="12" customWidth="1"/>
    <col min="2" max="2" width="26.1296296296296" customWidth="1"/>
    <col min="4" max="4" width="11.6296296296296" customWidth="1"/>
    <col min="18" max="18" width="12.1296296296296" customWidth="1"/>
  </cols>
  <sheetData>
    <row r="1" s="1" customFormat="1" ht="30" customHeight="1" spans="1:33">
      <c r="A1" s="1" t="s">
        <v>0</v>
      </c>
      <c r="B1" s="1" t="s">
        <v>1</v>
      </c>
      <c r="C1" s="1" t="s">
        <v>219</v>
      </c>
      <c r="D1" s="4" t="s">
        <v>220</v>
      </c>
      <c r="E1" s="1">
        <v>1</v>
      </c>
      <c r="F1" s="1">
        <v>2</v>
      </c>
      <c r="G1" s="1">
        <v>3</v>
      </c>
      <c r="H1" s="1">
        <v>4</v>
      </c>
      <c r="I1" s="1">
        <v>5</v>
      </c>
      <c r="J1" s="1">
        <v>6</v>
      </c>
      <c r="K1" s="1">
        <v>7</v>
      </c>
      <c r="L1" s="1">
        <v>8</v>
      </c>
      <c r="M1" s="1">
        <v>9</v>
      </c>
      <c r="N1" s="1">
        <v>10</v>
      </c>
      <c r="O1" s="1">
        <v>11</v>
      </c>
      <c r="P1" s="1">
        <v>12</v>
      </c>
      <c r="Q1" s="1">
        <v>13</v>
      </c>
    </row>
    <row r="2" s="14" customFormat="1" ht="29" customHeight="1" spans="1:33">
      <c r="A2" s="31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50" t="e">
        <f>AVERAGE(E2:Q2)</f>
        <v>#DIV/0!</v>
      </c>
      <c r="S2" s="51"/>
      <c r="T2" s="52"/>
      <c r="U2" s="52"/>
      <c r="V2" s="52"/>
      <c r="W2" s="52"/>
      <c r="X2" s="52"/>
      <c r="Y2" s="53"/>
      <c r="Z2" s="53"/>
      <c r="AA2" s="53"/>
      <c r="AB2" s="53"/>
      <c r="AC2" s="53"/>
      <c r="AD2" s="53"/>
      <c r="AG2" s="14">
        <v>87.51</v>
      </c>
    </row>
    <row r="3" s="3" customFormat="1" ht="15.6" spans="1:33">
      <c r="C3" s="37"/>
      <c r="D3" s="54">
        <f>D2</f>
        <v>0</v>
      </c>
      <c r="E3" s="16">
        <f t="shared" ref="E3:R3" si="0">E2/20</f>
        <v>0</v>
      </c>
      <c r="F3" s="16">
        <f t="shared" si="0"/>
        <v>0</v>
      </c>
      <c r="G3" s="16">
        <f t="shared" si="0"/>
        <v>0</v>
      </c>
      <c r="H3" s="16">
        <f t="shared" si="0"/>
        <v>0</v>
      </c>
      <c r="I3" s="16">
        <f t="shared" si="0"/>
        <v>0</v>
      </c>
      <c r="J3" s="16">
        <f t="shared" si="0"/>
        <v>0</v>
      </c>
      <c r="K3" s="16">
        <f t="shared" si="0"/>
        <v>0</v>
      </c>
      <c r="L3" s="16">
        <f t="shared" si="0"/>
        <v>0</v>
      </c>
      <c r="M3" s="16">
        <f t="shared" si="0"/>
        <v>0</v>
      </c>
      <c r="N3" s="16">
        <f t="shared" si="0"/>
        <v>0</v>
      </c>
      <c r="O3" s="16">
        <f t="shared" si="0"/>
        <v>0</v>
      </c>
      <c r="P3" s="16">
        <f t="shared" si="0"/>
        <v>0</v>
      </c>
      <c r="Q3" s="16">
        <f t="shared" si="0"/>
        <v>0</v>
      </c>
      <c r="R3" s="55" t="e">
        <f t="shared" si="0"/>
        <v>#DIV/0!</v>
      </c>
      <c r="S3" s="56"/>
      <c r="T3" s="57"/>
      <c r="U3" s="58"/>
      <c r="V3" s="59"/>
      <c r="W3" s="59"/>
      <c r="X3" s="59"/>
      <c r="Y3" s="59"/>
      <c r="Z3" s="59"/>
      <c r="AA3" s="59"/>
      <c r="AB3" s="59"/>
      <c r="AC3" s="59"/>
      <c r="AD3" s="59"/>
    </row>
    <row r="4" s="3" customFormat="1" ht="15.6" spans="1:33"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1"/>
      <c r="S4" s="1"/>
      <c r="T4" s="1"/>
      <c r="U4" s="1"/>
    </row>
    <row r="5" s="3" customFormat="1" ht="15.6" spans="1:33"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1"/>
      <c r="S5" s="1"/>
      <c r="T5" s="1"/>
      <c r="U5" s="1"/>
    </row>
    <row r="6" s="3" customFormat="1" ht="15.6" spans="1:33"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1"/>
      <c r="S6" s="1"/>
      <c r="T6" s="1"/>
      <c r="U6" s="1"/>
    </row>
    <row r="7" s="3" customFormat="1" ht="15.6" spans="1:33"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1"/>
      <c r="S7" s="1"/>
      <c r="T7" s="1"/>
      <c r="U7" s="1"/>
    </row>
    <row r="8" s="3" customFormat="1" ht="15.6" spans="1:33">
      <c r="E8" s="30"/>
      <c r="F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1"/>
      <c r="S8" s="1"/>
      <c r="T8" s="1"/>
      <c r="U8" s="1"/>
    </row>
    <row r="9" s="3" customFormat="1" ht="15.6" spans="1:33"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1"/>
      <c r="S9" s="1"/>
      <c r="T9" s="1"/>
      <c r="U9" s="1"/>
    </row>
    <row r="10" s="3" customFormat="1" ht="15.6" spans="1:33"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1"/>
      <c r="S10" s="1"/>
      <c r="T10" s="1"/>
      <c r="U10" s="1"/>
    </row>
    <row r="11" s="3" customFormat="1" ht="15.6" spans="1:33">
      <c r="E11" s="30"/>
      <c r="F11" s="30"/>
      <c r="G11" s="30"/>
      <c r="H11" s="30"/>
    </row>
    <row r="12" s="3" customFormat="1" ht="15.6" spans="1:33"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1"/>
      <c r="S12" s="1"/>
      <c r="T12" s="1"/>
      <c r="U12" s="1"/>
    </row>
    <row r="13" s="3" customFormat="1" ht="15.6" spans="1:33"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1"/>
      <c r="S13" s="1"/>
      <c r="T13" s="1"/>
      <c r="U13" s="1"/>
    </row>
    <row r="14" s="3" customFormat="1" ht="15.6" spans="1:33"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1"/>
      <c r="S14" s="1"/>
      <c r="T14" s="1"/>
      <c r="U14" s="1"/>
    </row>
    <row r="15" s="3" customFormat="1" ht="15.6" spans="1:33"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1"/>
      <c r="S15" s="1"/>
      <c r="T15" s="1"/>
      <c r="U15" s="1"/>
    </row>
    <row r="16" s="3" customFormat="1" ht="15.6" spans="1:33"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1"/>
      <c r="S16" s="1"/>
      <c r="T16" s="1"/>
      <c r="U16" s="1"/>
    </row>
    <row r="17" s="3" customFormat="1" ht="15.6" spans="5:21"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1"/>
      <c r="S17" s="1"/>
      <c r="T17" s="1"/>
      <c r="U17" s="1"/>
    </row>
    <row r="18" s="3" customFormat="1" ht="15.6" spans="5:21"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1"/>
      <c r="S18" s="1"/>
      <c r="T18" s="1"/>
      <c r="U18" s="1"/>
    </row>
    <row r="19" s="3" customFormat="1" ht="15.6" spans="5:21"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1"/>
      <c r="S19" s="1"/>
      <c r="T19" s="1"/>
      <c r="U19" s="1"/>
    </row>
    <row r="20" s="3" customFormat="1" ht="15.6" spans="5:21"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1"/>
      <c r="S20" s="1"/>
      <c r="T20" s="1"/>
      <c r="U20" s="1"/>
    </row>
    <row r="21" s="3" customFormat="1" ht="15.6" spans="5:21"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1"/>
      <c r="S21" s="1"/>
      <c r="T21" s="1"/>
      <c r="U21" s="1"/>
    </row>
    <row r="22" s="3" customFormat="1" ht="15.6" spans="5:21"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1"/>
      <c r="S22" s="1"/>
      <c r="T22" s="1"/>
      <c r="U22" s="1"/>
    </row>
    <row r="23" s="3" customFormat="1" ht="15.6" spans="5:21"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1"/>
      <c r="S23" s="1"/>
      <c r="T23" s="1"/>
      <c r="U23" s="1"/>
    </row>
    <row r="24" s="3" customFormat="1" ht="15" customHeight="1" spans="5:21"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1"/>
      <c r="S24" s="1"/>
      <c r="T24" s="1"/>
      <c r="U24" s="1"/>
    </row>
    <row r="25" s="3" customFormat="1" ht="15" customHeight="1" spans="5:21">
      <c r="E25" s="30"/>
      <c r="F25" s="30"/>
      <c r="G25" s="30"/>
      <c r="H25" s="30"/>
      <c r="I25" s="20" t="s">
        <v>221</v>
      </c>
      <c r="J25" s="21" t="e">
        <f>D2*10000000/(400*C2*R3*7.25)</f>
        <v>#DIV/0!</v>
      </c>
      <c r="K25" s="21" t="s">
        <v>222</v>
      </c>
      <c r="L25" s="21">
        <f>MAX(E3:Q3)</f>
        <v>0</v>
      </c>
      <c r="M25" s="21" t="s">
        <v>223</v>
      </c>
      <c r="N25" s="22">
        <f>D2</f>
        <v>0</v>
      </c>
      <c r="O25" s="30"/>
      <c r="P25" s="30"/>
      <c r="Q25" s="30"/>
      <c r="R25" s="1"/>
      <c r="S25" s="1"/>
      <c r="T25" s="1"/>
      <c r="U25" s="1"/>
    </row>
    <row r="26" s="3" customFormat="1" ht="16" customHeight="1" spans="5:21">
      <c r="E26" s="30"/>
      <c r="F26" s="30"/>
      <c r="G26" s="30"/>
      <c r="H26" s="30"/>
      <c r="I26" s="39" t="s">
        <v>224</v>
      </c>
      <c r="J26" s="23">
        <f>C2</f>
        <v>0</v>
      </c>
      <c r="K26" s="23" t="s">
        <v>225</v>
      </c>
      <c r="L26" s="23">
        <f>MIN(E3:Q3)</f>
        <v>0</v>
      </c>
      <c r="M26" s="23" t="s">
        <v>226</v>
      </c>
      <c r="N26" s="24" t="e">
        <f>IF(AND(L27&lt;=2.5,J27&gt;=23,J27&lt;=27,J25&gt;=88,(E3-F3)&lt;=1.5,(Q3-P3)&lt;=1.5,J26&lt;=120.5,J26&gt;=119.5),"A","")</f>
        <v>#DIV/0!</v>
      </c>
      <c r="O26" s="30"/>
      <c r="P26" s="30"/>
      <c r="Q26" s="30"/>
      <c r="R26" s="1"/>
      <c r="S26" s="1"/>
      <c r="T26" s="1"/>
      <c r="U26" s="1"/>
    </row>
    <row r="27" s="3" customFormat="1" ht="16" customHeight="1" spans="5:21">
      <c r="E27" s="30"/>
      <c r="F27" s="30"/>
      <c r="G27" s="30"/>
      <c r="H27" s="30"/>
      <c r="I27" s="39" t="s">
        <v>227</v>
      </c>
      <c r="J27" s="23" t="e">
        <f>R3</f>
        <v>#DIV/0!</v>
      </c>
      <c r="K27" s="23" t="s">
        <v>228</v>
      </c>
      <c r="L27" s="23">
        <f>L25-L26</f>
        <v>0</v>
      </c>
      <c r="M27" s="23" t="s">
        <v>229</v>
      </c>
      <c r="N27" s="44"/>
      <c r="O27" s="30"/>
      <c r="P27" s="30"/>
      <c r="Q27" s="30"/>
      <c r="R27" s="1"/>
      <c r="S27" s="1"/>
      <c r="T27" s="1"/>
      <c r="U27" s="1"/>
    </row>
    <row r="28" s="3" customFormat="1" ht="15" customHeight="1" spans="5:21">
      <c r="E28" s="30"/>
      <c r="F28" s="30"/>
      <c r="G28" s="30"/>
      <c r="H28" s="30"/>
      <c r="I28" s="45" t="s">
        <v>230</v>
      </c>
      <c r="J28" s="46"/>
      <c r="K28" s="47"/>
      <c r="L28" s="47"/>
      <c r="M28" s="47"/>
      <c r="N28" s="48"/>
      <c r="O28" s="30"/>
      <c r="P28" s="30"/>
      <c r="Q28" s="30"/>
      <c r="R28" s="1"/>
      <c r="S28" s="1"/>
      <c r="T28" s="1"/>
      <c r="U28" s="1"/>
    </row>
    <row r="29" s="3" customFormat="1" ht="15.6" spans="5:21"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1"/>
      <c r="S29" s="1"/>
      <c r="T29" s="1"/>
      <c r="U29" s="1"/>
    </row>
    <row r="30" s="3" customFormat="1" ht="15.6" spans="5:21"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1"/>
      <c r="S30" s="1"/>
      <c r="T30" s="1"/>
      <c r="U30" s="1"/>
    </row>
    <row r="31" s="49" customFormat="1"/>
    <row r="32" s="49" customFormat="1"/>
  </sheetData>
  <mergeCells count="1">
    <mergeCell ref="J28:N28"/>
  </mergeCells>
  <pageMargins left="0.75" right="0.75" top="1" bottom="1" header="0.5" footer="0.5"/>
  <pageSetup paperSize="256" orientation="portrait"/>
  <headerFooter/>
  <ignoredErrors>
    <ignoredError sqref="R2" formulaRange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80"/>
  <sheetViews>
    <sheetView workbookViewId="0">
      <selection activeCell="C20" sqref="C20"/>
    </sheetView>
  </sheetViews>
  <sheetFormatPr defaultColWidth="9" defaultRowHeight="14.4"/>
  <cols>
    <col min="1" max="1" width="10.8148148148148" customWidth="1"/>
    <col min="2" max="2" width="25.8796296296296" customWidth="1"/>
    <col min="3" max="3" width="10" customWidth="1"/>
    <col min="4" max="4" width="11.6296296296296" customWidth="1"/>
    <col min="5" max="12" width="8.62962962962963" customWidth="1"/>
    <col min="13" max="13" width="8.87962962962963" customWidth="1"/>
    <col min="14" max="14" width="9.12962962962963" customWidth="1"/>
    <col min="15" max="18" width="8.62962962962963" customWidth="1"/>
    <col min="19" max="19" width="9.5" customWidth="1"/>
    <col min="20" max="20" width="11" customWidth="1"/>
    <col min="21" max="21" width="10.8796296296296" customWidth="1"/>
  </cols>
  <sheetData>
    <row r="1" s="1" customFormat="1" ht="20" customHeight="1" spans="1:35">
      <c r="A1" s="1" t="s">
        <v>0</v>
      </c>
      <c r="B1" s="1" t="s">
        <v>1</v>
      </c>
      <c r="C1" s="1" t="s">
        <v>219</v>
      </c>
      <c r="D1" s="1" t="s">
        <v>220</v>
      </c>
      <c r="E1" s="1">
        <v>1</v>
      </c>
      <c r="F1" s="1">
        <v>2</v>
      </c>
      <c r="G1" s="1">
        <v>3</v>
      </c>
      <c r="H1" s="1">
        <v>4</v>
      </c>
      <c r="I1" s="1">
        <v>5</v>
      </c>
      <c r="J1" s="1">
        <v>6</v>
      </c>
      <c r="K1" s="1">
        <v>7</v>
      </c>
      <c r="L1" s="1">
        <v>8</v>
      </c>
      <c r="M1" s="1">
        <v>9</v>
      </c>
      <c r="N1" s="1">
        <v>10</v>
      </c>
      <c r="O1" s="1">
        <v>11</v>
      </c>
      <c r="P1" s="1">
        <v>12</v>
      </c>
      <c r="Q1" s="1">
        <v>13</v>
      </c>
      <c r="R1" s="1">
        <v>14</v>
      </c>
      <c r="S1" s="1">
        <v>15</v>
      </c>
    </row>
    <row r="2" s="7" customFormat="1" ht="21" customHeight="1" spans="1:35">
      <c r="A2" s="31">
        <v>45969</v>
      </c>
      <c r="B2" s="32" t="s">
        <v>231</v>
      </c>
      <c r="C2" s="32">
        <v>142.04</v>
      </c>
      <c r="D2" s="32">
        <v>97</v>
      </c>
      <c r="E2" s="32">
        <v>516.3</v>
      </c>
      <c r="F2" s="32">
        <v>507.1</v>
      </c>
      <c r="G2" s="32">
        <v>514.8</v>
      </c>
      <c r="H2" s="32">
        <v>514.7</v>
      </c>
      <c r="I2" s="32">
        <v>534.2</v>
      </c>
      <c r="J2" s="32">
        <v>515.8</v>
      </c>
      <c r="K2" s="32">
        <v>509.7</v>
      </c>
      <c r="L2" s="32">
        <v>522.9</v>
      </c>
      <c r="M2" s="32">
        <v>512.1</v>
      </c>
      <c r="N2" s="32">
        <v>516.3</v>
      </c>
      <c r="O2" s="32">
        <v>503.4</v>
      </c>
      <c r="P2" s="32">
        <v>498.5</v>
      </c>
      <c r="Q2" s="32">
        <v>491.8</v>
      </c>
      <c r="R2" s="32">
        <v>497.6</v>
      </c>
      <c r="S2" s="32">
        <v>542.6</v>
      </c>
      <c r="T2" s="40">
        <f>AVERAGE(E2:S2)</f>
        <v>513.186666666667</v>
      </c>
      <c r="U2" s="32"/>
      <c r="V2" s="32"/>
      <c r="W2" s="34"/>
      <c r="X2" s="34"/>
      <c r="Y2" s="34"/>
      <c r="Z2" s="34"/>
      <c r="AA2" s="41"/>
      <c r="AB2" s="41"/>
      <c r="AC2" s="41"/>
      <c r="AD2" s="41"/>
      <c r="AE2" s="42"/>
      <c r="AI2" s="7">
        <v>89.17</v>
      </c>
    </row>
    <row r="3" s="3" customFormat="1" ht="19" customHeight="1" spans="1:35">
      <c r="A3" s="14"/>
      <c r="B3" s="14"/>
      <c r="C3" s="14"/>
      <c r="D3" s="14"/>
      <c r="E3" s="16">
        <f t="shared" ref="E3:T3" si="0">E2/20</f>
        <v>25.815</v>
      </c>
      <c r="F3" s="16">
        <f t="shared" si="0"/>
        <v>25.355</v>
      </c>
      <c r="G3" s="16">
        <f t="shared" si="0"/>
        <v>25.74</v>
      </c>
      <c r="H3" s="16">
        <f t="shared" si="0"/>
        <v>25.735</v>
      </c>
      <c r="I3" s="16">
        <f t="shared" si="0"/>
        <v>26.71</v>
      </c>
      <c r="J3" s="16">
        <f t="shared" si="0"/>
        <v>25.79</v>
      </c>
      <c r="K3" s="16">
        <f t="shared" si="0"/>
        <v>25.485</v>
      </c>
      <c r="L3" s="16">
        <f t="shared" si="0"/>
        <v>26.145</v>
      </c>
      <c r="M3" s="16">
        <f t="shared" si="0"/>
        <v>25.605</v>
      </c>
      <c r="N3" s="16">
        <f t="shared" si="0"/>
        <v>25.815</v>
      </c>
      <c r="O3" s="16">
        <f t="shared" si="0"/>
        <v>25.17</v>
      </c>
      <c r="P3" s="16">
        <f t="shared" si="0"/>
        <v>24.925</v>
      </c>
      <c r="Q3" s="16">
        <f t="shared" si="0"/>
        <v>24.59</v>
      </c>
      <c r="R3" s="16">
        <f t="shared" si="0"/>
        <v>24.88</v>
      </c>
      <c r="S3" s="16">
        <f t="shared" si="0"/>
        <v>27.13</v>
      </c>
      <c r="T3" s="38">
        <f t="shared" si="0"/>
        <v>25.6593333333333</v>
      </c>
      <c r="U3" s="43"/>
      <c r="V3" s="1"/>
      <c r="W3" s="1"/>
    </row>
    <row r="4" s="3" customFormat="1" ht="15.6" spans="1:35"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1"/>
      <c r="U4" s="1"/>
      <c r="V4" s="1"/>
      <c r="W4" s="1"/>
    </row>
    <row r="5" s="3" customFormat="1" ht="15.6" spans="1:35"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1"/>
      <c r="U5" s="1"/>
      <c r="V5" s="1"/>
      <c r="W5" s="1"/>
    </row>
    <row r="6" s="3" customFormat="1" ht="15.6" spans="1:35"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1"/>
      <c r="U6" s="1"/>
      <c r="V6" s="1"/>
      <c r="W6" s="1"/>
    </row>
    <row r="7" s="3" customFormat="1" ht="15.6" spans="1:35"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1"/>
      <c r="U7" s="1"/>
      <c r="V7" s="1"/>
      <c r="W7" s="1"/>
    </row>
    <row r="8" s="3" customFormat="1" ht="15.6" spans="1:35"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1"/>
      <c r="U8" s="1"/>
      <c r="V8" s="1"/>
      <c r="W8" s="1"/>
    </row>
    <row r="9" s="3" customFormat="1" ht="15.6" spans="1:35"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1"/>
      <c r="U9" s="1"/>
      <c r="V9" s="1"/>
      <c r="W9" s="1"/>
    </row>
    <row r="10" s="3" customFormat="1" ht="15.6" spans="1:35"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1"/>
      <c r="U10" s="1"/>
      <c r="V10" s="1"/>
      <c r="W10" s="1"/>
    </row>
    <row r="11" s="3" customFormat="1" ht="15.6" spans="1:35"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1"/>
      <c r="U11" s="1"/>
      <c r="V11" s="1"/>
      <c r="W11" s="1"/>
    </row>
    <row r="12" s="3" customFormat="1" ht="15.6" spans="1:35"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1"/>
      <c r="U12" s="1"/>
      <c r="V12" s="1"/>
      <c r="W12" s="1"/>
    </row>
    <row r="13" s="3" customFormat="1" ht="15.6" spans="1:35"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1"/>
      <c r="U13" s="1"/>
      <c r="V13" s="1"/>
      <c r="W13" s="1"/>
    </row>
    <row r="14" s="3" customFormat="1" ht="15.6" spans="1:35"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1"/>
      <c r="U14" s="1"/>
      <c r="V14" s="1"/>
      <c r="W14" s="1"/>
    </row>
    <row r="15" s="3" customFormat="1" ht="15.6" spans="1:35"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1"/>
      <c r="U15" s="1"/>
      <c r="V15" s="1"/>
      <c r="W15" s="1"/>
    </row>
    <row r="16" s="3" customFormat="1" ht="15.6" spans="1:35"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1"/>
      <c r="U16" s="1"/>
      <c r="V16" s="1"/>
      <c r="W16" s="1"/>
    </row>
    <row r="17" s="3" customFormat="1" ht="15.6" spans="5:23"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29"/>
      <c r="S17" s="30"/>
      <c r="T17" s="1"/>
      <c r="U17" s="1"/>
      <c r="V17" s="1"/>
      <c r="W17" s="1"/>
    </row>
    <row r="18" s="3" customFormat="1" ht="15.6" spans="5:23"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1"/>
      <c r="U18" s="1"/>
      <c r="V18" s="1"/>
      <c r="W18" s="1"/>
    </row>
    <row r="19" s="3" customFormat="1" ht="15.6" spans="5:23"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1"/>
      <c r="U19" s="1"/>
      <c r="V19" s="1"/>
      <c r="W19" s="1"/>
    </row>
    <row r="20" s="3" customFormat="1" ht="15.6" spans="5:23"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1"/>
      <c r="U20" s="1"/>
      <c r="V20" s="1"/>
      <c r="W20" s="1"/>
    </row>
    <row r="21" s="3" customFormat="1" ht="15.6" spans="5:23"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1"/>
      <c r="U21" s="1"/>
      <c r="V21" s="1"/>
      <c r="W21" s="1"/>
    </row>
    <row r="22" s="3" customFormat="1" ht="15.6" spans="5:23"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1"/>
      <c r="U22" s="1"/>
      <c r="V22" s="1"/>
      <c r="W22" s="1"/>
    </row>
    <row r="23" s="3" customFormat="1" ht="20" customHeight="1" spans="5:23"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1"/>
      <c r="U23" s="1"/>
      <c r="V23" s="1"/>
      <c r="W23" s="1"/>
    </row>
    <row r="24" s="3" customFormat="1" ht="15.6" spans="5:23">
      <c r="E24" s="30"/>
      <c r="F24" s="30"/>
      <c r="G24" s="30"/>
      <c r="H24" s="30"/>
      <c r="I24" s="20" t="s">
        <v>221</v>
      </c>
      <c r="J24" s="21">
        <f>D2*10000000/(400*C2*T3*7.25)</f>
        <v>91.7735864880767</v>
      </c>
      <c r="K24" s="21" t="s">
        <v>222</v>
      </c>
      <c r="L24" s="21">
        <f>MAX(E3:S3)</f>
        <v>27.13</v>
      </c>
      <c r="M24" s="21" t="s">
        <v>223</v>
      </c>
      <c r="N24" s="22">
        <f>D2</f>
        <v>97</v>
      </c>
      <c r="O24" s="30"/>
      <c r="P24" s="30"/>
      <c r="Q24" s="30"/>
      <c r="R24" s="30"/>
      <c r="S24" s="30"/>
      <c r="T24" s="1"/>
      <c r="U24" s="1"/>
      <c r="V24" s="1"/>
      <c r="W24" s="1"/>
    </row>
    <row r="25" s="3" customFormat="1" ht="15.6" spans="5:23">
      <c r="E25" s="30"/>
      <c r="F25" s="30"/>
      <c r="G25" s="30"/>
      <c r="H25" s="30"/>
      <c r="I25" s="39" t="s">
        <v>224</v>
      </c>
      <c r="J25" s="23">
        <f>C2</f>
        <v>142.04</v>
      </c>
      <c r="K25" s="23" t="s">
        <v>225</v>
      </c>
      <c r="L25" s="23">
        <f>MIN(E3:S3)</f>
        <v>24.59</v>
      </c>
      <c r="M25" s="23" t="s">
        <v>232</v>
      </c>
      <c r="N25" s="24" t="str">
        <f>IF(AND(L26&lt;=3,J26&gt;=23,J26&lt;=27,J24&gt;=88,(E3-F3)&lt;=1.5,(S3-R3)&lt;=1.5,J25&lt;=142.5,J25&gt;=141.5),"A","")</f>
        <v/>
      </c>
      <c r="O25" s="30"/>
      <c r="P25" s="30"/>
      <c r="Q25" s="30"/>
      <c r="R25" s="30"/>
      <c r="S25" s="30"/>
      <c r="T25" s="1"/>
      <c r="U25" s="1"/>
      <c r="V25" s="1"/>
      <c r="W25" s="1"/>
    </row>
    <row r="26" s="3" customFormat="1" ht="15.6" spans="5:23">
      <c r="E26" s="30"/>
      <c r="F26" s="30"/>
      <c r="G26" s="30"/>
      <c r="H26" s="30"/>
      <c r="I26" s="39" t="s">
        <v>227</v>
      </c>
      <c r="J26" s="23">
        <f>T3</f>
        <v>25.6593333333333</v>
      </c>
      <c r="K26" s="23" t="s">
        <v>228</v>
      </c>
      <c r="L26" s="23">
        <f>L24-L25</f>
        <v>2.54</v>
      </c>
      <c r="M26" s="23" t="s">
        <v>229</v>
      </c>
      <c r="N26" s="44"/>
      <c r="O26" s="30"/>
      <c r="P26" s="30"/>
      <c r="Q26" s="30"/>
      <c r="R26" s="30"/>
      <c r="S26" s="30"/>
      <c r="T26" s="1"/>
      <c r="U26" s="1"/>
      <c r="V26" s="1"/>
      <c r="W26" s="1"/>
    </row>
    <row r="27" s="3" customFormat="1" ht="15.6" spans="5:23">
      <c r="E27" s="30"/>
      <c r="F27" s="30"/>
      <c r="G27" s="30"/>
      <c r="H27" s="30"/>
      <c r="I27" s="45" t="s">
        <v>230</v>
      </c>
      <c r="J27" s="46"/>
      <c r="K27" s="47"/>
      <c r="L27" s="47"/>
      <c r="M27" s="47"/>
      <c r="N27" s="48"/>
      <c r="O27" s="30"/>
      <c r="P27" s="30"/>
      <c r="Q27" s="30"/>
      <c r="R27" s="30"/>
      <c r="S27" s="30"/>
      <c r="T27" s="1"/>
      <c r="U27" s="1"/>
      <c r="V27" s="1"/>
      <c r="W27" s="1"/>
    </row>
    <row r="28" s="3" customFormat="1" ht="15.6" spans="5:23"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1"/>
      <c r="U28" s="1"/>
      <c r="V28" s="1"/>
      <c r="W28" s="1"/>
    </row>
    <row r="29" s="3" customFormat="1" ht="15.6" spans="5:23"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1"/>
      <c r="U29" s="1"/>
      <c r="V29" s="1"/>
      <c r="W29" s="1"/>
    </row>
    <row r="30" s="3" customFormat="1" ht="15.6" spans="5:23"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1"/>
      <c r="U30" s="1"/>
      <c r="V30" s="1"/>
      <c r="W30" s="1"/>
    </row>
    <row r="31" s="3" customFormat="1" ht="15.6" spans="5:23"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1"/>
      <c r="U31" s="1"/>
      <c r="V31" s="1"/>
      <c r="W31" s="1"/>
    </row>
    <row r="80" s="3" customFormat="1" ht="15.6" spans="5:23"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1"/>
      <c r="U80" s="1"/>
      <c r="V80" s="1"/>
      <c r="W80" s="1"/>
    </row>
  </sheetData>
  <mergeCells count="1">
    <mergeCell ref="J27:N27"/>
  </mergeCells>
  <pageMargins left="0.75" right="0.75" top="1" bottom="1" header="0.5" footer="0.5"/>
  <pageSetup paperSize="256" orientation="portrait"/>
  <headerFooter/>
  <ignoredErrors>
    <ignoredError sqref="A4:W23 A28:W80 A27:H27 A1:W1 U3:W3 O27:W27 M26:W26 O24:W25 M24 K24:K26 A24:I26 A3:S3 T2" formulaRange="1"/>
  </ignoredError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28"/>
  <sheetViews>
    <sheetView workbookViewId="0">
      <selection activeCell="F24" sqref="F24"/>
    </sheetView>
  </sheetViews>
  <sheetFormatPr defaultColWidth="9" defaultRowHeight="14.4"/>
  <cols>
    <col min="1" max="1" width="13.1296296296296" customWidth="1"/>
    <col min="2" max="2" width="22.1296296296296" customWidth="1"/>
    <col min="3" max="3" width="9.25"/>
    <col min="5" max="5" width="8.12962962962963" customWidth="1"/>
    <col min="6" max="7" width="8.62962962962963" customWidth="1"/>
    <col min="8" max="8" width="8.37962962962963" customWidth="1"/>
    <col min="9" max="9" width="8" customWidth="1"/>
    <col min="10" max="10" width="8.12962962962963" customWidth="1"/>
    <col min="11" max="11" width="10.3796296296296"/>
    <col min="12" max="12" width="8.62962962962963" customWidth="1"/>
    <col min="17" max="17" width="8.5" customWidth="1"/>
    <col min="18" max="18" width="8" customWidth="1"/>
    <col min="19" max="19" width="8.37962962962963" customWidth="1"/>
    <col min="20" max="20" width="7.75" customWidth="1"/>
    <col min="21" max="21" width="8.37962962962963" customWidth="1"/>
    <col min="22" max="22" width="8.25" customWidth="1"/>
    <col min="23" max="23" width="9.12962962962963" customWidth="1"/>
  </cols>
  <sheetData>
    <row r="1" s="1" customFormat="1" ht="28" customHeight="1" spans="1:36">
      <c r="A1" s="1" t="s">
        <v>0</v>
      </c>
      <c r="B1" s="1" t="s">
        <v>1</v>
      </c>
      <c r="C1" s="1" t="s">
        <v>219</v>
      </c>
      <c r="D1" s="4" t="s">
        <v>220</v>
      </c>
      <c r="E1" s="29">
        <v>1</v>
      </c>
      <c r="F1" s="29">
        <v>2</v>
      </c>
      <c r="G1" s="29">
        <v>3</v>
      </c>
      <c r="H1" s="29">
        <v>4</v>
      </c>
      <c r="I1" s="29">
        <v>5</v>
      </c>
      <c r="J1" s="29">
        <v>6</v>
      </c>
      <c r="K1" s="29">
        <v>7</v>
      </c>
      <c r="L1" s="29">
        <v>8</v>
      </c>
      <c r="M1" s="29">
        <v>9</v>
      </c>
      <c r="N1" s="29">
        <v>10</v>
      </c>
      <c r="O1" s="29">
        <v>11</v>
      </c>
      <c r="P1" s="29">
        <v>12</v>
      </c>
      <c r="Q1" s="29">
        <v>13</v>
      </c>
      <c r="R1" s="29">
        <v>14</v>
      </c>
      <c r="S1" s="29">
        <v>15</v>
      </c>
      <c r="T1" s="29">
        <v>16</v>
      </c>
      <c r="U1" s="29">
        <v>17</v>
      </c>
      <c r="V1" s="29">
        <v>18</v>
      </c>
      <c r="W1" s="30"/>
    </row>
    <row r="2" s="7" customFormat="1" ht="21" customHeight="1" spans="1:36">
      <c r="A2" s="31">
        <v>45969</v>
      </c>
      <c r="B2" s="32" t="s">
        <v>233</v>
      </c>
      <c r="C2" s="32">
        <v>170.33</v>
      </c>
      <c r="D2" s="32">
        <v>114.2</v>
      </c>
      <c r="E2" s="32">
        <v>458.2</v>
      </c>
      <c r="F2" s="32">
        <v>488.7</v>
      </c>
      <c r="G2" s="32">
        <v>515.3</v>
      </c>
      <c r="H2" s="32">
        <v>497.8</v>
      </c>
      <c r="I2" s="32">
        <v>502.3</v>
      </c>
      <c r="J2" s="32">
        <v>510.1</v>
      </c>
      <c r="K2" s="32">
        <v>509.4</v>
      </c>
      <c r="L2" s="32">
        <v>498.3</v>
      </c>
      <c r="M2" s="32">
        <v>497.6</v>
      </c>
      <c r="N2" s="32">
        <v>502.4</v>
      </c>
      <c r="O2" s="32">
        <v>502</v>
      </c>
      <c r="P2" s="32">
        <v>511.8</v>
      </c>
      <c r="Q2" s="32">
        <v>510.3</v>
      </c>
      <c r="R2" s="32">
        <v>498.4</v>
      </c>
      <c r="S2" s="32">
        <v>506</v>
      </c>
      <c r="T2" s="32">
        <v>507.4</v>
      </c>
      <c r="U2" s="32">
        <v>511.6</v>
      </c>
      <c r="V2" s="32">
        <v>502.1</v>
      </c>
      <c r="W2" s="33">
        <f>AVERAGE(E2:V2)</f>
        <v>501.65</v>
      </c>
      <c r="X2" s="10"/>
      <c r="Y2" s="10"/>
      <c r="Z2" s="34"/>
      <c r="AA2" s="35"/>
      <c r="AB2" s="35"/>
      <c r="AC2" s="35"/>
      <c r="AD2" s="35"/>
      <c r="AE2" s="35"/>
      <c r="AF2" s="36"/>
      <c r="AG2" s="36"/>
      <c r="AH2" s="36"/>
      <c r="AI2" s="36">
        <v>92.18</v>
      </c>
      <c r="AJ2" s="36"/>
    </row>
    <row r="3" s="3" customFormat="1" ht="15.6" spans="1:36">
      <c r="C3" s="37"/>
      <c r="D3" s="37"/>
      <c r="E3" s="16">
        <f t="shared" ref="E3:W3" si="0">E2/20</f>
        <v>22.91</v>
      </c>
      <c r="F3" s="16">
        <f t="shared" si="0"/>
        <v>24.435</v>
      </c>
      <c r="G3" s="16">
        <f t="shared" si="0"/>
        <v>25.765</v>
      </c>
      <c r="H3" s="16">
        <f t="shared" si="0"/>
        <v>24.89</v>
      </c>
      <c r="I3" s="16">
        <f t="shared" si="0"/>
        <v>25.115</v>
      </c>
      <c r="J3" s="16">
        <f t="shared" si="0"/>
        <v>25.505</v>
      </c>
      <c r="K3" s="16">
        <f t="shared" si="0"/>
        <v>25.47</v>
      </c>
      <c r="L3" s="16">
        <f t="shared" si="0"/>
        <v>24.915</v>
      </c>
      <c r="M3" s="16">
        <f t="shared" si="0"/>
        <v>24.88</v>
      </c>
      <c r="N3" s="16">
        <f t="shared" si="0"/>
        <v>25.12</v>
      </c>
      <c r="O3" s="16">
        <f t="shared" si="0"/>
        <v>25.1</v>
      </c>
      <c r="P3" s="16">
        <f t="shared" si="0"/>
        <v>25.59</v>
      </c>
      <c r="Q3" s="16">
        <f t="shared" si="0"/>
        <v>25.515</v>
      </c>
      <c r="R3" s="16">
        <f t="shared" si="0"/>
        <v>24.92</v>
      </c>
      <c r="S3" s="16">
        <f t="shared" si="0"/>
        <v>25.3</v>
      </c>
      <c r="T3" s="16">
        <f t="shared" si="0"/>
        <v>25.37</v>
      </c>
      <c r="U3" s="16">
        <f t="shared" si="0"/>
        <v>25.58</v>
      </c>
      <c r="V3" s="16">
        <f t="shared" si="0"/>
        <v>25.105</v>
      </c>
      <c r="W3" s="38">
        <f t="shared" si="0"/>
        <v>25.0825</v>
      </c>
    </row>
    <row r="4" s="3" customFormat="1" ht="15.6" spans="1:36"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</row>
    <row r="5" s="3" customFormat="1" ht="15.6" spans="1:36"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</row>
    <row r="6" s="3" customFormat="1" ht="15.6" spans="1:36"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</row>
    <row r="7" s="3" customFormat="1" ht="13" customHeight="1" spans="1:36"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</row>
    <row r="8" s="3" customFormat="1" ht="15.6" spans="1:36"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</row>
    <row r="9" s="3" customFormat="1" ht="15.6" spans="1:36"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</row>
    <row r="10" s="3" customFormat="1" ht="15.6" spans="1:36"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</row>
    <row r="11" s="3" customFormat="1" ht="15.6" spans="1:36"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</row>
    <row r="12" s="3" customFormat="1" ht="15.6" spans="1:36">
      <c r="E12" s="19"/>
      <c r="F12" s="19"/>
      <c r="G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</row>
    <row r="13" s="3" customFormat="1" ht="15.6" spans="1:36"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</row>
    <row r="14" s="3" customFormat="1" ht="15.6" spans="1:36"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</row>
    <row r="15" s="3" customFormat="1" ht="15.6" spans="1:36"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</row>
    <row r="16" s="3" customFormat="1" ht="15.6" spans="1:36"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</row>
    <row r="17" s="3" customFormat="1" ht="15.6" spans="5:26"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</row>
    <row r="18" s="3" customFormat="1" ht="15.6" spans="5:26"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</row>
    <row r="19" s="3" customFormat="1" ht="15.6" spans="5:26"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</row>
    <row r="20" s="3" customFormat="1" ht="15.6" spans="5:26"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</row>
    <row r="21" s="3" customFormat="1" ht="15.6" spans="5:26">
      <c r="E21" s="19"/>
      <c r="F21" s="19"/>
      <c r="G21" s="19"/>
      <c r="H21" s="19"/>
      <c r="I21" s="19"/>
      <c r="J21" s="19"/>
      <c r="K21" s="20" t="s">
        <v>221</v>
      </c>
      <c r="L21" s="21">
        <f>D2*10000000/(400*C2*W3*7.25)</f>
        <v>92.1735127126396</v>
      </c>
      <c r="M21" s="21" t="s">
        <v>222</v>
      </c>
      <c r="N21" s="21">
        <f>MAX(E3:V3)</f>
        <v>25.765</v>
      </c>
      <c r="O21" s="21" t="s">
        <v>223</v>
      </c>
      <c r="P21" s="22">
        <f>D2</f>
        <v>114.2</v>
      </c>
      <c r="Q21" s="19"/>
      <c r="R21" s="19"/>
      <c r="S21" s="19"/>
      <c r="T21" s="19"/>
      <c r="U21" s="19"/>
      <c r="V21" s="19"/>
      <c r="W21" s="19"/>
    </row>
    <row r="22" s="3" customFormat="1" ht="15.6" spans="5:26">
      <c r="E22" s="19"/>
      <c r="F22" s="19"/>
      <c r="G22" s="19"/>
      <c r="K22" s="39" t="s">
        <v>224</v>
      </c>
      <c r="L22" s="23">
        <f>C2</f>
        <v>170.33</v>
      </c>
      <c r="M22" s="23" t="s">
        <v>225</v>
      </c>
      <c r="N22" s="23">
        <f>MIN(E3:V3)</f>
        <v>22.91</v>
      </c>
      <c r="O22" s="23" t="s">
        <v>226</v>
      </c>
      <c r="P22" s="24" t="str">
        <f>IF(AND(N23&lt;=3,L23&gt;=23,L23&lt;=27,L21&gt;=88,(E3-F3)&lt;=1.5,(V3-U3)&lt;=1.5,L22&lt;=170.5,L22&gt;=169.5),"A","")</f>
        <v>A</v>
      </c>
      <c r="S22" s="19"/>
      <c r="T22" s="19"/>
      <c r="U22" s="19"/>
      <c r="V22" s="19"/>
      <c r="W22" s="19"/>
    </row>
    <row r="23" s="3" customFormat="1" ht="15.6" spans="5:26">
      <c r="E23" s="19"/>
      <c r="F23" s="19"/>
      <c r="G23" s="19"/>
      <c r="K23" s="23" t="s">
        <v>227</v>
      </c>
      <c r="L23" s="23">
        <f>W3</f>
        <v>25.0825</v>
      </c>
      <c r="M23" s="23" t="s">
        <v>228</v>
      </c>
      <c r="N23" s="23">
        <f>N21-N22</f>
        <v>2.855</v>
      </c>
      <c r="O23" s="23" t="s">
        <v>229</v>
      </c>
      <c r="P23" s="25"/>
      <c r="S23" s="19"/>
      <c r="T23" s="19"/>
      <c r="U23" s="19"/>
      <c r="V23" s="19"/>
      <c r="W23" s="19"/>
    </row>
    <row r="24" s="3" customFormat="1" ht="15.6" spans="5:26">
      <c r="E24" s="19"/>
      <c r="F24" s="19"/>
      <c r="G24" s="19"/>
      <c r="K24" s="23" t="s">
        <v>230</v>
      </c>
      <c r="L24" s="26"/>
      <c r="M24" s="27"/>
      <c r="N24" s="27"/>
      <c r="O24" s="27"/>
      <c r="P24" s="28"/>
      <c r="S24" s="19"/>
      <c r="T24" s="19"/>
      <c r="U24" s="19"/>
      <c r="V24" s="19"/>
      <c r="W24" s="19"/>
    </row>
    <row r="25" s="3" customFormat="1" ht="15.6" spans="5:26">
      <c r="E25" s="19"/>
      <c r="F25" s="19"/>
      <c r="G25" s="19"/>
      <c r="S25" s="19"/>
      <c r="T25" s="19"/>
      <c r="U25" s="19"/>
      <c r="V25" s="19"/>
      <c r="W25" s="19"/>
    </row>
    <row r="26" s="3" customFormat="1" ht="15.6" spans="5:26"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="3" customFormat="1" ht="15.6" spans="5:26"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="3" customFormat="1" ht="15.6" spans="5:26"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</sheetData>
  <mergeCells count="1">
    <mergeCell ref="L24:P24"/>
  </mergeCells>
  <printOptions horizontalCentered="1"/>
  <pageMargins left="0.0388888888888889" right="0.0388888888888889" top="0.0388888888888889" bottom="0.0388888888888889" header="0.0388888888888889" footer="0.0388888888888889"/>
  <pageSetup paperSize="9" fitToWidth="0" orientation="portrait" horizontalDpi="600"/>
  <headerFooter/>
  <ignoredErrors>
    <ignoredError sqref="A5:AJ11 A3:W4 AB2:AJ4 A12:G12 I12:AJ12 A13:AJ14 A15:G15 I15:AJ15 A16:AJ20 A21:K21 M21:AJ21 A22:O22 Q22:AJ22 A23:AJ28 A1:AJ1 W2" formulaRange="1"/>
  </ignoredError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0"/>
  <sheetViews>
    <sheetView workbookViewId="0">
      <selection activeCell="H21" sqref="H21"/>
    </sheetView>
  </sheetViews>
  <sheetFormatPr defaultColWidth="9" defaultRowHeight="14.4"/>
  <cols>
    <col min="1" max="1" width="11" customWidth="1"/>
    <col min="2" max="2" width="18.75" customWidth="1"/>
    <col min="4" max="4" width="6.75" customWidth="1"/>
    <col min="5" max="5" width="6.87962962962963" customWidth="1"/>
    <col min="6" max="6" width="7" customWidth="1"/>
    <col min="7" max="7" width="6.62962962962963" customWidth="1"/>
    <col min="8" max="8" width="6.37962962962963" customWidth="1"/>
    <col min="9" max="9" width="6.75" customWidth="1"/>
    <col min="10" max="10" width="6.87962962962963" customWidth="1"/>
    <col min="11" max="11" width="7.12962962962963" customWidth="1"/>
    <col min="12" max="12" width="9.62962962962963" customWidth="1"/>
    <col min="13" max="13" width="8.62962962962963" customWidth="1"/>
    <col min="14" max="14" width="8.75" customWidth="1"/>
    <col min="15" max="15" width="8.87962962962963" customWidth="1"/>
    <col min="16" max="16" width="10.25" customWidth="1"/>
    <col min="17" max="17" width="9" customWidth="1"/>
    <col min="18" max="18" width="7.75" customWidth="1"/>
    <col min="19" max="19" width="7.37962962962963" customWidth="1"/>
    <col min="20" max="20" width="7.5" customWidth="1"/>
    <col min="21" max="21" width="8" customWidth="1"/>
    <col min="22" max="22" width="7.62962962962963" customWidth="1"/>
    <col min="23" max="23" width="8" customWidth="1"/>
    <col min="24" max="24" width="6.62962962962963" customWidth="1"/>
    <col min="25" max="25" width="7.87962962962963" customWidth="1"/>
    <col min="26" max="26" width="7.25" customWidth="1"/>
    <col min="27" max="27" width="10" customWidth="1"/>
  </cols>
  <sheetData>
    <row r="1" s="1" customFormat="1" ht="30" customHeight="1" spans="1:31">
      <c r="A1" s="1" t="s">
        <v>0</v>
      </c>
      <c r="B1" s="1" t="s">
        <v>1</v>
      </c>
      <c r="C1" s="1" t="s">
        <v>219</v>
      </c>
      <c r="D1" s="4" t="s">
        <v>220</v>
      </c>
      <c r="E1" s="5">
        <v>1</v>
      </c>
      <c r="F1" s="5">
        <v>2</v>
      </c>
      <c r="G1" s="5">
        <v>3</v>
      </c>
      <c r="H1" s="5">
        <v>4</v>
      </c>
      <c r="I1" s="5">
        <v>5</v>
      </c>
      <c r="J1" s="5">
        <v>6</v>
      </c>
      <c r="K1" s="5">
        <v>7</v>
      </c>
      <c r="L1" s="5">
        <v>8</v>
      </c>
      <c r="M1" s="5">
        <v>9</v>
      </c>
      <c r="N1" s="5">
        <v>10</v>
      </c>
      <c r="O1" s="5">
        <v>11</v>
      </c>
      <c r="P1" s="5">
        <v>12</v>
      </c>
      <c r="Q1" s="5">
        <v>13</v>
      </c>
      <c r="R1" s="5">
        <v>14</v>
      </c>
      <c r="S1" s="5">
        <v>15</v>
      </c>
      <c r="T1" s="5">
        <v>16</v>
      </c>
      <c r="U1" s="5">
        <v>17</v>
      </c>
      <c r="V1" s="5">
        <v>18</v>
      </c>
      <c r="W1" s="5">
        <v>19</v>
      </c>
      <c r="X1" s="5">
        <v>20</v>
      </c>
      <c r="Y1" s="5">
        <v>21</v>
      </c>
      <c r="Z1" s="5">
        <v>22</v>
      </c>
    </row>
    <row r="2" s="2" customFormat="1" ht="21" customHeight="1" spans="1:31">
      <c r="A2" s="6">
        <v>45945</v>
      </c>
      <c r="B2" s="7" t="s">
        <v>234</v>
      </c>
      <c r="C2" s="8">
        <v>170.25</v>
      </c>
      <c r="D2" s="9">
        <v>108.5</v>
      </c>
      <c r="E2" s="10">
        <v>496.1</v>
      </c>
      <c r="F2" s="10">
        <v>491.6</v>
      </c>
      <c r="G2" s="10">
        <v>487.5</v>
      </c>
      <c r="H2" s="10">
        <v>485.2</v>
      </c>
      <c r="I2" s="10">
        <v>501.1</v>
      </c>
      <c r="J2" s="10">
        <v>488.5</v>
      </c>
      <c r="K2" s="10">
        <v>490.1</v>
      </c>
      <c r="L2" s="10">
        <v>491.8</v>
      </c>
      <c r="M2" s="10">
        <v>494</v>
      </c>
      <c r="N2" s="10">
        <v>492.6</v>
      </c>
      <c r="O2" s="10">
        <v>523.6</v>
      </c>
      <c r="P2" s="10">
        <v>490.4</v>
      </c>
      <c r="Q2" s="10">
        <v>498.8</v>
      </c>
      <c r="R2" s="10">
        <v>491.7</v>
      </c>
      <c r="S2" s="10">
        <v>490.5</v>
      </c>
      <c r="T2" s="10">
        <v>492.8</v>
      </c>
      <c r="U2" s="10">
        <v>489.1</v>
      </c>
      <c r="V2" s="10">
        <v>511.6</v>
      </c>
      <c r="W2" s="11">
        <v>508</v>
      </c>
      <c r="X2" s="11">
        <v>527.3</v>
      </c>
      <c r="Y2" s="11">
        <v>544.1</v>
      </c>
      <c r="Z2" s="11">
        <v>545</v>
      </c>
      <c r="AA2" s="12">
        <f>AVERAGE(E2:Z2)</f>
        <v>501.427272727273</v>
      </c>
      <c r="AB2" s="13"/>
      <c r="AC2" s="13"/>
      <c r="AD2" s="13"/>
      <c r="AE2" s="13"/>
    </row>
    <row r="3" s="3" customFormat="1" ht="24" customHeight="1" spans="1:31">
      <c r="A3" s="14"/>
      <c r="B3" s="14"/>
      <c r="C3" s="15"/>
      <c r="D3" s="15"/>
      <c r="E3" s="16">
        <f t="shared" ref="E3:AA3" si="0">E2/20</f>
        <v>24.805</v>
      </c>
      <c r="F3" s="16">
        <f t="shared" si="0"/>
        <v>24.58</v>
      </c>
      <c r="G3" s="16">
        <f t="shared" si="0"/>
        <v>24.375</v>
      </c>
      <c r="H3" s="16">
        <f t="shared" si="0"/>
        <v>24.26</v>
      </c>
      <c r="I3" s="16">
        <f t="shared" si="0"/>
        <v>25.055</v>
      </c>
      <c r="J3" s="16">
        <f t="shared" si="0"/>
        <v>24.425</v>
      </c>
      <c r="K3" s="16">
        <f t="shared" si="0"/>
        <v>24.505</v>
      </c>
      <c r="L3" s="16">
        <f t="shared" si="0"/>
        <v>24.59</v>
      </c>
      <c r="M3" s="16">
        <f t="shared" si="0"/>
        <v>24.7</v>
      </c>
      <c r="N3" s="16">
        <f t="shared" si="0"/>
        <v>24.63</v>
      </c>
      <c r="O3" s="16">
        <f t="shared" si="0"/>
        <v>26.18</v>
      </c>
      <c r="P3" s="16">
        <f t="shared" si="0"/>
        <v>24.52</v>
      </c>
      <c r="Q3" s="16">
        <f t="shared" si="0"/>
        <v>24.94</v>
      </c>
      <c r="R3" s="16">
        <f t="shared" si="0"/>
        <v>24.585</v>
      </c>
      <c r="S3" s="16">
        <f t="shared" si="0"/>
        <v>24.525</v>
      </c>
      <c r="T3" s="16">
        <f t="shared" si="0"/>
        <v>24.64</v>
      </c>
      <c r="U3" s="16">
        <f t="shared" si="0"/>
        <v>24.455</v>
      </c>
      <c r="V3" s="16">
        <f t="shared" si="0"/>
        <v>25.58</v>
      </c>
      <c r="W3" s="16">
        <f t="shared" si="0"/>
        <v>25.4</v>
      </c>
      <c r="X3" s="16">
        <f t="shared" si="0"/>
        <v>26.365</v>
      </c>
      <c r="Y3" s="16">
        <f t="shared" si="0"/>
        <v>27.205</v>
      </c>
      <c r="Z3" s="16">
        <f t="shared" si="0"/>
        <v>27.25</v>
      </c>
      <c r="AA3" s="17">
        <f t="shared" si="0"/>
        <v>25.0713636363636</v>
      </c>
      <c r="AB3" s="18"/>
      <c r="AC3" s="18"/>
    </row>
    <row r="4" s="3" customFormat="1" ht="15.6" spans="1:31"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="3" customFormat="1" ht="15.6" spans="1:31"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="3" customFormat="1" ht="15.6" spans="1:31"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="3" customFormat="1" ht="15.6" spans="1:31"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="3" customFormat="1" ht="15.6" spans="1:31"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="3" customFormat="1" ht="15.6" spans="1:31"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="3" customFormat="1" ht="15.6" spans="1:31"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="3" customFormat="1" ht="15.6" spans="1:31"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="3" customFormat="1" ht="15.6" spans="1:31"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="3" customFormat="1" ht="15.6" spans="1:31"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="3" customFormat="1" ht="15.6" spans="1:31"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="3" customFormat="1" ht="15.6" spans="1:31"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="3" customFormat="1" ht="15.6" spans="1:31"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="3" customFormat="1" ht="15.6" spans="5:26"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="3" customFormat="1" ht="15.6" spans="5:26"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="3" customFormat="1" ht="15.6" spans="5:26"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="3" customFormat="1" ht="15.6" spans="5:26"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="3" customFormat="1" ht="15.6" spans="5:26"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="3" customFormat="1" ht="15.6" spans="5:26"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="3" customFormat="1" ht="15.6" spans="5:26"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="3" customFormat="1" ht="15.6" spans="5:26"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="3" customFormat="1" ht="15.6" spans="5:26">
      <c r="E25" s="19"/>
      <c r="F25" s="19"/>
      <c r="G25" s="19"/>
      <c r="H25" s="19"/>
      <c r="I25" s="19"/>
      <c r="J25" s="19"/>
      <c r="K25" s="19"/>
      <c r="L25" s="20" t="s">
        <v>221</v>
      </c>
      <c r="M25" s="21">
        <f>D2*10000000/(400*C2*AA3*7.25)</f>
        <v>87.6529755684048</v>
      </c>
      <c r="N25" s="21" t="s">
        <v>222</v>
      </c>
      <c r="O25" s="21">
        <f>MAX(E3:Z3)</f>
        <v>27.25</v>
      </c>
      <c r="P25" s="21" t="s">
        <v>223</v>
      </c>
      <c r="Q25" s="22">
        <f>D2</f>
        <v>108.5</v>
      </c>
      <c r="R25" s="19"/>
      <c r="S25" s="19"/>
      <c r="T25" s="19"/>
      <c r="U25" s="19"/>
      <c r="V25" s="19"/>
      <c r="W25" s="19"/>
      <c r="X25" s="19"/>
      <c r="Y25" s="19"/>
      <c r="Z25" s="19"/>
    </row>
    <row r="26" s="3" customFormat="1" ht="15.6" spans="5:26">
      <c r="E26" s="19"/>
      <c r="F26" s="19"/>
      <c r="G26" s="19"/>
      <c r="L26" s="23" t="s">
        <v>224</v>
      </c>
      <c r="M26" s="23">
        <f>C2</f>
        <v>170.25</v>
      </c>
      <c r="N26" s="23" t="s">
        <v>225</v>
      </c>
      <c r="O26" s="23">
        <f>MIN(E3:Z3)</f>
        <v>24.26</v>
      </c>
      <c r="P26" s="23" t="s">
        <v>226</v>
      </c>
      <c r="Q26" s="24"/>
      <c r="S26" s="19"/>
      <c r="T26" s="19"/>
      <c r="U26" s="19"/>
      <c r="V26" s="19"/>
      <c r="W26" s="19"/>
      <c r="X26" s="19"/>
    </row>
    <row r="27" s="3" customFormat="1" ht="15.6" spans="5:26">
      <c r="E27" s="19"/>
      <c r="F27" s="19"/>
      <c r="G27" s="19"/>
      <c r="L27" s="23" t="s">
        <v>227</v>
      </c>
      <c r="M27" s="23">
        <f>AA3</f>
        <v>25.0713636363636</v>
      </c>
      <c r="N27" s="23" t="s">
        <v>228</v>
      </c>
      <c r="O27" s="23">
        <f>O25-O26</f>
        <v>2.99</v>
      </c>
      <c r="P27" s="23" t="s">
        <v>229</v>
      </c>
      <c r="Q27" s="25"/>
      <c r="S27" s="19"/>
      <c r="T27" s="19"/>
      <c r="U27" s="19"/>
      <c r="V27" s="19"/>
      <c r="W27" s="19"/>
      <c r="X27" s="19"/>
    </row>
    <row r="28" s="3" customFormat="1" ht="15.6" spans="5:26">
      <c r="E28" s="19"/>
      <c r="F28" s="19"/>
      <c r="G28" s="19"/>
      <c r="L28" s="23" t="s">
        <v>230</v>
      </c>
      <c r="M28" s="26"/>
      <c r="N28" s="27"/>
      <c r="O28" s="27"/>
      <c r="P28" s="27"/>
      <c r="Q28" s="28"/>
      <c r="S28" s="19"/>
      <c r="T28" s="19"/>
      <c r="U28" s="19"/>
      <c r="V28" s="19"/>
      <c r="W28" s="19"/>
      <c r="X28" s="19"/>
    </row>
    <row r="29" s="3" customFormat="1" ht="15.6" spans="5:26">
      <c r="E29" s="19"/>
      <c r="F29" s="19"/>
      <c r="G29" s="19"/>
      <c r="S29" s="19"/>
      <c r="T29" s="19"/>
      <c r="U29" s="19"/>
      <c r="V29" s="19"/>
      <c r="W29" s="19"/>
      <c r="X29" s="19"/>
    </row>
    <row r="30" s="3" customFormat="1" ht="15.6" spans="5:26"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</sheetData>
  <mergeCells count="1">
    <mergeCell ref="M28:Q28"/>
  </mergeCells>
  <pageMargins left="0.75" right="0.75" top="1" bottom="1" header="0.5" footer="0.5"/>
  <pageSetup paperSize="256" orientation="portrait"/>
  <headerFooter/>
  <ignoredErrors>
    <ignoredError sqref="AA2" formulaRange="1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G7" sqref="G7"/>
    </sheetView>
  </sheetViews>
  <sheetFormatPr defaultColWidth="9" defaultRowHeight="14.4"/>
  <cols>
    <col min="1" max="1" width="22.6296296296296" customWidth="1"/>
    <col min="2" max="2" width="21" customWidth="1"/>
  </cols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数据导入</vt:lpstr>
      <vt:lpstr>120带材叠片系数</vt:lpstr>
      <vt:lpstr>142带材叠片系数</vt:lpstr>
      <vt:lpstr>170带材叠片系数</vt:lpstr>
      <vt:lpstr>213带材叠片系数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Dawn</cp:lastModifiedBy>
  <dcterms:created xsi:type="dcterms:W3CDTF">2023-05-12T11:15:00Z</dcterms:created>
  <dcterms:modified xsi:type="dcterms:W3CDTF">2026-01-14T03:40:13Z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D8AC1B3DFD424356BB427FAC0C81B6FF_13</vt:lpwstr>
  </property>
  <property fmtid="{D5CDD505-2E9C-101B-9397-08002B2CF9AE}" pid="4" name="CalculationRule">
    <vt:i4>0</vt:i4>
  </property>
</Properties>
</file>