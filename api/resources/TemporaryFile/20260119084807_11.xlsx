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<sst xmlns="http://schemas.openxmlformats.org/spreadsheetml/2006/main" count="279" uniqueCount="235">
  <si>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</si>
  <si>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</si>
  <si>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</si>
  <si>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</si>
  <si>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</si>
  <si>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</si>
  <si>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</si>
  <si>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</si>
  <si>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</si>
  <si>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</si>
  <si>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</si>
  <si>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</si>
  <si>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</si>
  <si>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</si>
  <si>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</si>
  <si>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</si>
  <si>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</si>
  <si>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</si>
  <si>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</si>
  <si>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</si>
  <si>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</si>
  <si>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</si>
  <si>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</si>
  <si>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</si>
  <si>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</si>
  <si>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</si>
  <si>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</si>
  <si>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</si>
  <si>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</si>
  <si>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</si>
  <si>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</si>
  <si>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</si>
  <si>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</si>
  <si>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</si>
  <si>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</si>
  <si>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</si>
  <si>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</si>
  <si>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</si>
  <si>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</si>
  <si>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</si>
  <si>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</si>
  <si>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</si>
  <si>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</si>
  <si>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</si>
  <si>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</si>
  <si>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</si>
  <si>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</si>
  <si>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</si>
  <si>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</si>
  <si>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</si>
  <si>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</si>
  <si>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</si>
  <si>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</si>
  <si>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</si>
  <si>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</si>
  <si>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</si>
  <si>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</si>
  <si>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</si>
  <si>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</si>
  <si>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</si>
  <si>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</si>
  <si>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</si>
  <si>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</si>
  <si>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</si>
  <si>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</si>
  <si>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</si>
  <si>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</si>
  <si>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</si>
  <si>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</si>
  <si>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</si>
  <si>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</si>
  <si>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</si>
  <si>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</si>
  <si>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</si>
  <si>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</si>
  <si>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</si>
  <si>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</si>
  <si>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</si>
  <si>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</si>
  <si>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</si>
  <si>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</si>
  <si>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</si>
  <si>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</si>
  <si>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</si>
  <si>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</si>
  <si>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</si>
  <si>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</si>
  <si>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</si>
  <si>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</si>
  <si>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</si>
  <si>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</si>
  <si>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</si>
  <si>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</si>
  <si>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</si>
  <si>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</si>
  <si>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</si>
  <si>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</si>
  <si>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</si>
  <si>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</si>
  <si>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</si>
  <si>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</si>
  <si>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</si>
  <si>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</si>
  <si>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</si>
  <si>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</si>
  <si>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</si>
  <si>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</si>
  <si>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</si>
  <si>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</si>
  <si>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</si>
  <si>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</si>
  <si>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</si>
  <si>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</si>
  <si>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</si>
  <si>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</si>
  <si>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</si>
  <si>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</si>
  <si>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</si>
  <si>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</si>
  <si>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</si>
  <si>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</si>
  <si>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</si>
  <si>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</si>
  <si>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</si>
  <si>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</si>
  <si>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</si>
  <si>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</si>
  <si>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</si>
  <si>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</si>
  <si>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</si>
  <si>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</si>
  <si>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</si>
  <si>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</si>
  <si>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</si>
  <si>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</si>
  <si>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</si>
  <si>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</si>
  <si>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</si>
  <si>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</si>
  <si>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</si>
  <si>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</si>
  <si>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</si>
  <si>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</si>
  <si>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</si>
  <si>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</si>
  <si>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</si>
  <si>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</si>
  <si>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</si>
  <si>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</si>
  <si>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</si>
  <si>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</si>
  <si>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</si>
  <si>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</si>
  <si>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</si>
  <si>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</si>
  <si>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</si>
  <si>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</si>
  <si>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</si>
  <si>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</si>
  <si>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</si>
  <si>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</si>
  <si>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</si>
  <si>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</si>
  <si>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</si>
  <si>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</si>
  <si>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</si>
  <si>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</si>
  <si>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</si>
  <si>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</si>
  <si>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</si>
  <si>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</si>
  <si>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</si>
  <si>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</si>
  <si>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</si>
  <si>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</si>
  <si>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</si>
  <si>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</si>
  <si>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</si>
  <si>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</si>
  <si>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</si>
  <si>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</si>
  <si>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</si>
  <si>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</si>
  <si>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</si>
  <si>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</si>
  <si>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</si>
  <si>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</si>
  <si>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</si>
  <si>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</si>
  <si>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</si>
  <si>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</si>
  <si>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</si>
  <si>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</si>
  <si>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</si>
  <si>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</si>
  <si>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</si>
  <si>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</si>
  <si>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</si>
  <si>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</si>
  <si>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</si>
  <si>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</si>
  <si>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</si>
  <si>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</si>
  <si>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</si>
  <si>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</si>
  <si>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</si>
  <si>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</si>
  <si>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</si>
  <si>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</si>
  <si>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</si>
  <si>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</si>
  <si>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</si>
  <si>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</si>
  <si>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</si>
  <si>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</si>
  <si>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1乙20251102-1-8</t>
  </si>
  <si>
    <t>1乙20251107-4-0</t>
  </si>
  <si>
    <t>1乙20251107-4-1</t>
  </si>
  <si>
    <t>1乙20251107-4-2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</si>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</sst>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7"/>
  <sheetViews>
    <sheetView tabSelected="1" zoomScale="85" zoomScaleNormal="85" topLeftCell="A181" workbookViewId="0">
      <pane xSplit="1" topLeftCell="B1" activePane="topRight" state="frozen"/>
      <selection/>
      <selection pane="topRight" activeCell="AB2" sqref="AB2:AB217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A2" s="61">
        <v>1</v>
      </c>
      <c r="AB2" s="61">
        <v>2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A3" s="61">
        <v>1</v>
      </c>
      <c r="AB3" s="61">
        <v>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A4" s="61">
        <v>1</v>
      </c>
      <c r="AB4" s="61">
        <v>2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A5" s="61">
        <v>1</v>
      </c>
      <c r="AB5" s="61">
        <v>2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A6" s="61">
        <v>1</v>
      </c>
      <c r="AB6" s="61">
        <v>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A7" s="61">
        <v>1</v>
      </c>
      <c r="AB7" s="61">
        <v>2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A8" s="61">
        <v>1</v>
      </c>
      <c r="AB8" s="61">
        <v>2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A9" s="61">
        <v>1</v>
      </c>
      <c r="AB9" s="61">
        <v>2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A10" s="61">
        <v>1</v>
      </c>
      <c r="AB10" s="61">
        <v>2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A11" s="61">
        <v>1</v>
      </c>
      <c r="AB11" s="61">
        <v>2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A12" s="61">
        <v>1</v>
      </c>
      <c r="AB12" s="61">
        <v>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A13" s="61">
        <v>1</v>
      </c>
      <c r="AB13" s="61">
        <v>2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A14" s="61">
        <v>1</v>
      </c>
      <c r="AB14" s="61">
        <v>2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A15" s="61">
        <v>1</v>
      </c>
      <c r="AB15" s="61">
        <v>2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A16" s="61">
        <v>1</v>
      </c>
      <c r="AB16" s="61">
        <v>2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A17" s="61">
        <v>1</v>
      </c>
      <c r="AB17" s="61">
        <v>2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A18" s="61">
        <v>1</v>
      </c>
      <c r="AB18" s="61">
        <v>2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A19" s="61">
        <v>1</v>
      </c>
      <c r="AB19" s="61">
        <v>2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A20" s="61">
        <v>1</v>
      </c>
      <c r="AB20" s="61">
        <v>2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A21" s="61">
        <v>1</v>
      </c>
      <c r="AB21" s="61">
        <v>2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A22" s="61">
        <v>1</v>
      </c>
      <c r="AB22" s="61">
        <v>2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A23" s="61">
        <v>1</v>
      </c>
      <c r="AB23" s="61">
        <v>2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A24" s="61">
        <v>1</v>
      </c>
      <c r="AB24" s="61">
        <v>2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A25" s="61">
        <v>1</v>
      </c>
      <c r="AB25" s="61">
        <v>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A26" s="61">
        <v>1</v>
      </c>
      <c r="AB26" s="61">
        <v>2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A27" s="61">
        <v>1</v>
      </c>
      <c r="AB27" s="61">
        <v>2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A28" s="61">
        <v>1</v>
      </c>
      <c r="AB28" s="61">
        <v>2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A29" s="61">
        <v>1</v>
      </c>
      <c r="AB29" s="61">
        <v>2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A30" s="61">
        <v>1</v>
      </c>
      <c r="AB30" s="61">
        <v>2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A31" s="61">
        <v>1</v>
      </c>
      <c r="AB31" s="61">
        <v>2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A32" s="61">
        <v>1</v>
      </c>
      <c r="AB32" s="61">
        <v>2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A33" s="61">
        <v>1</v>
      </c>
      <c r="AB33" s="61">
        <v>2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A34" s="61">
        <v>1</v>
      </c>
      <c r="AB34" s="61">
        <v>2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A35" s="61">
        <v>1</v>
      </c>
      <c r="AB35" s="61">
        <v>2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A36" s="61">
        <v>1</v>
      </c>
      <c r="AB36" s="61">
        <v>2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A37" s="61">
        <v>1</v>
      </c>
      <c r="AB37" s="61">
        <v>2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A38" s="61">
        <v>1</v>
      </c>
      <c r="AB38" s="61">
        <v>2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A39" s="61">
        <v>1</v>
      </c>
      <c r="AB39" s="61">
        <v>2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A40" s="61">
        <v>1</v>
      </c>
      <c r="AB40" s="61">
        <v>2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A41" s="61">
        <v>1</v>
      </c>
      <c r="AB41" s="61">
        <v>2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A42" s="61">
        <v>1</v>
      </c>
      <c r="AB42" s="61">
        <v>2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A43" s="61">
        <v>1</v>
      </c>
      <c r="AB43" s="61">
        <v>2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A44" s="61">
        <v>1</v>
      </c>
      <c r="AB44" s="61">
        <v>2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A45" s="61">
        <v>1</v>
      </c>
      <c r="AB45" s="61">
        <v>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A46" s="61">
        <v>1</v>
      </c>
      <c r="AB46" s="61">
        <v>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A47" s="61">
        <v>1</v>
      </c>
      <c r="AB47" s="61">
        <v>2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A48" s="61">
        <v>1</v>
      </c>
      <c r="AB48" s="61">
        <v>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A49" s="61">
        <v>1</v>
      </c>
      <c r="AB49" s="61">
        <v>2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A50" s="61">
        <v>1</v>
      </c>
      <c r="AB50" s="61">
        <v>2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A51" s="61">
        <v>1</v>
      </c>
      <c r="AB51" s="61">
        <v>2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A52" s="61">
        <v>1</v>
      </c>
      <c r="AB52" s="61">
        <v>2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A53" s="61">
        <v>1</v>
      </c>
      <c r="AB53" s="61">
        <v>2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A54" s="61">
        <v>1</v>
      </c>
      <c r="AB54" s="61">
        <v>2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A55" s="61">
        <v>1</v>
      </c>
      <c r="AB55" s="61">
        <v>2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A56" s="61">
        <v>1</v>
      </c>
      <c r="AB56" s="61">
        <v>2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A57" s="61">
        <v>1</v>
      </c>
      <c r="AB57" s="61">
        <v>2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A58" s="61">
        <v>1</v>
      </c>
      <c r="AB58" s="61">
        <v>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A59" s="61">
        <v>1</v>
      </c>
      <c r="AB59" s="61">
        <v>2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A60" s="61">
        <v>1</v>
      </c>
      <c r="AB60" s="61">
        <v>2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A61" s="61">
        <v>1</v>
      </c>
      <c r="AB61" s="61">
        <v>2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A62" s="61">
        <v>1</v>
      </c>
      <c r="AB62" s="61">
        <v>2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A63" s="61">
        <v>1</v>
      </c>
      <c r="AB63" s="61">
        <v>2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A64" s="61">
        <v>1</v>
      </c>
      <c r="AB64" s="61">
        <v>2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A65" s="61">
        <v>1</v>
      </c>
      <c r="AB65" s="61">
        <v>2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A66" s="61">
        <v>1</v>
      </c>
      <c r="AB66" s="61">
        <v>2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A67" s="61">
        <v>1</v>
      </c>
      <c r="AB67" s="61">
        <v>2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A68" s="61">
        <v>1</v>
      </c>
      <c r="AB68" s="61">
        <v>2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A69" s="61">
        <v>1</v>
      </c>
      <c r="AB69" s="61">
        <v>2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A70" s="61">
        <v>1</v>
      </c>
      <c r="AB70" s="61">
        <v>2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A71" s="61">
        <v>1</v>
      </c>
      <c r="AB71" s="61">
        <v>2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A72" s="61">
        <v>1</v>
      </c>
      <c r="AB72" s="61">
        <v>2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A73" s="61">
        <v>1</v>
      </c>
      <c r="AB73" s="61">
        <v>2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A74" s="61">
        <v>1</v>
      </c>
      <c r="AB74" s="61">
        <v>2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A75" s="61">
        <v>1</v>
      </c>
      <c r="AB75" s="61">
        <v>2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A76" s="61">
        <v>1</v>
      </c>
      <c r="AB76" s="61">
        <v>2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A77" s="61">
        <v>1</v>
      </c>
      <c r="AB77" s="61">
        <v>2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A78" s="61">
        <v>1</v>
      </c>
      <c r="AB78" s="61">
        <v>2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A79" s="61">
        <v>1</v>
      </c>
      <c r="AB79" s="61">
        <v>2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A80" s="61">
        <v>1</v>
      </c>
      <c r="AB80" s="61">
        <v>2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A81" s="61">
        <v>1</v>
      </c>
      <c r="AB81" s="61">
        <v>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A82" s="61">
        <v>1</v>
      </c>
      <c r="AB82" s="61">
        <v>2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A83" s="61">
        <v>1</v>
      </c>
      <c r="AB83" s="61">
        <v>2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A84" s="61">
        <v>1</v>
      </c>
      <c r="AB84" s="61">
        <v>2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A85" s="61">
        <v>1</v>
      </c>
      <c r="AB85" s="61">
        <v>2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A86" s="61">
        <v>1</v>
      </c>
      <c r="AB86" s="61">
        <v>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A87" s="61">
        <v>1</v>
      </c>
      <c r="AB87" s="61">
        <v>2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A88" s="61">
        <v>1</v>
      </c>
      <c r="AB88" s="61">
        <v>2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A89" s="61">
        <v>1</v>
      </c>
      <c r="AB89" s="61">
        <v>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A90" s="61">
        <v>1</v>
      </c>
      <c r="AB90" s="61">
        <v>2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A91" s="61">
        <v>1</v>
      </c>
      <c r="AB91" s="61">
        <v>2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A92" s="61">
        <v>1</v>
      </c>
      <c r="AB92" s="61">
        <v>2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A93" s="61">
        <v>1</v>
      </c>
      <c r="AB93" s="61">
        <v>2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A94" s="61">
        <v>1</v>
      </c>
      <c r="AB94" s="61">
        <v>2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A95" s="61">
        <v>1</v>
      </c>
      <c r="AB95" s="61">
        <v>2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A96" s="61">
        <v>1</v>
      </c>
      <c r="AB96" s="61">
        <v>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A97" s="61">
        <v>1</v>
      </c>
      <c r="AB97" s="61">
        <v>2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A98" s="61">
        <v>1</v>
      </c>
      <c r="AB98" s="61">
        <v>2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A99" s="61">
        <v>1</v>
      </c>
      <c r="AB99" s="61">
        <v>2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A100" s="61">
        <v>1</v>
      </c>
      <c r="AB100" s="61">
        <v>2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A101" s="61">
        <v>1</v>
      </c>
      <c r="AB101" s="61">
        <v>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A102" s="61">
        <v>1</v>
      </c>
      <c r="AB102" s="61">
        <v>2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A103" s="61">
        <v>1</v>
      </c>
      <c r="AB103" s="61">
        <v>2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A104" s="61">
        <v>1</v>
      </c>
      <c r="AB104" s="61">
        <v>2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A105" s="61">
        <v>1</v>
      </c>
      <c r="AB105" s="61">
        <v>2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A106" s="61">
        <v>1</v>
      </c>
      <c r="AB106" s="61">
        <v>2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A107" s="61">
        <v>1</v>
      </c>
      <c r="AB107" s="61">
        <v>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A108" s="61">
        <v>1</v>
      </c>
      <c r="AB108" s="61">
        <v>2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A109" s="61">
        <v>1</v>
      </c>
      <c r="AB109" s="61">
        <v>2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A110" s="61">
        <v>1</v>
      </c>
      <c r="AB110" s="61">
        <v>2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A111" s="61">
        <v>1</v>
      </c>
      <c r="AB111" s="61">
        <v>2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A112" s="61">
        <v>1</v>
      </c>
      <c r="AB112" s="61">
        <v>2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A113" s="61">
        <v>1</v>
      </c>
      <c r="AB113" s="61">
        <v>2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A114" s="61">
        <v>1</v>
      </c>
      <c r="AB114" s="61">
        <v>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A115" s="61">
        <v>1</v>
      </c>
      <c r="AB115" s="61">
        <v>2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A116" s="61">
        <v>1</v>
      </c>
      <c r="AB116" s="61">
        <v>2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A117" s="61">
        <v>1</v>
      </c>
      <c r="AB117" s="61">
        <v>2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A118" s="61">
        <v>1</v>
      </c>
      <c r="AB118" s="61">
        <v>2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A119" s="61">
        <v>1</v>
      </c>
      <c r="AB119" s="61">
        <v>2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A120" s="61">
        <v>1</v>
      </c>
      <c r="AB120" s="61">
        <v>2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A121" s="61">
        <v>1</v>
      </c>
      <c r="AB121" s="61">
        <v>2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A122" s="61">
        <v>1</v>
      </c>
      <c r="AB122" s="61">
        <v>2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A123" s="61">
        <v>1</v>
      </c>
      <c r="AB123" s="61">
        <v>2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A124" s="61">
        <v>1</v>
      </c>
      <c r="AB124" s="61">
        <v>2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A125" s="61">
        <v>1</v>
      </c>
      <c r="AB125" s="61">
        <v>2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A126" s="61">
        <v>1</v>
      </c>
      <c r="AB126" s="61">
        <v>2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A127" s="61">
        <v>1</v>
      </c>
      <c r="AB127" s="61">
        <v>2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A128" s="61">
        <v>1</v>
      </c>
      <c r="AB128" s="61">
        <v>2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A129" s="61">
        <v>1</v>
      </c>
      <c r="AB129" s="61">
        <v>2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A130" s="61">
        <v>1</v>
      </c>
      <c r="AB130" s="61">
        <v>2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A131" s="61">
        <v>1</v>
      </c>
      <c r="AB131" s="61">
        <v>2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A132" s="61">
        <v>1</v>
      </c>
      <c r="AB132" s="61">
        <v>2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A133" s="61">
        <v>1</v>
      </c>
      <c r="AB133" s="61">
        <v>2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A134" s="61">
        <v>1</v>
      </c>
      <c r="AB134" s="61">
        <v>2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A135" s="61">
        <v>1</v>
      </c>
      <c r="AB135" s="61">
        <v>2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A136" s="61">
        <v>1</v>
      </c>
      <c r="AB136" s="61">
        <v>2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A137" s="61">
        <v>1</v>
      </c>
      <c r="AB137" s="61">
        <v>2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A138" s="61">
        <v>1</v>
      </c>
      <c r="AB138" s="61">
        <v>2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A139" s="61">
        <v>1</v>
      </c>
      <c r="AB139" s="61">
        <v>2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A140" s="61">
        <v>1</v>
      </c>
      <c r="AB140" s="61">
        <v>2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A141" s="61">
        <v>1</v>
      </c>
      <c r="AB141" s="61">
        <v>2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A142" s="61">
        <v>1</v>
      </c>
      <c r="AB142" s="61">
        <v>2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A143" s="61">
        <v>1</v>
      </c>
      <c r="AB143" s="61">
        <v>2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A144" s="61">
        <v>1</v>
      </c>
      <c r="AB144" s="61">
        <v>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A145" s="61">
        <v>1</v>
      </c>
      <c r="AB145" s="61">
        <v>2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A146" s="61">
        <v>1</v>
      </c>
      <c r="AB146" s="61">
        <v>2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A147" s="61">
        <v>1</v>
      </c>
      <c r="AB147" s="61">
        <v>2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A148" s="61">
        <v>1</v>
      </c>
      <c r="AB148" s="61">
        <v>2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A149" s="61">
        <v>1</v>
      </c>
      <c r="AB149" s="61">
        <v>2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A150" s="61">
        <v>1</v>
      </c>
      <c r="AB150" s="61">
        <v>2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A151" s="61">
        <v>1</v>
      </c>
      <c r="AB151" s="61">
        <v>2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A152" s="61">
        <v>1</v>
      </c>
      <c r="AB152" s="61">
        <v>2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A153" s="61">
        <v>1</v>
      </c>
      <c r="AB153" s="61">
        <v>2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A154" s="61">
        <v>1</v>
      </c>
      <c r="AB154" s="61">
        <v>2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A155" s="61">
        <v>1</v>
      </c>
      <c r="AB155" s="61">
        <v>2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A156" s="61">
        <v>1</v>
      </c>
      <c r="AB156" s="61">
        <v>2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A157" s="61">
        <v>1</v>
      </c>
      <c r="AB157" s="61">
        <v>2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A158" s="61">
        <v>1</v>
      </c>
      <c r="AB158" s="61">
        <v>2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A159" s="61">
        <v>1</v>
      </c>
      <c r="AB159" s="61">
        <v>2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A160" s="61">
        <v>1</v>
      </c>
      <c r="AB160" s="61">
        <v>2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A161" s="61">
        <v>1</v>
      </c>
      <c r="AB161" s="61">
        <v>2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A162" s="61">
        <v>1</v>
      </c>
      <c r="AB162" s="61">
        <v>2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A163" s="61">
        <v>1</v>
      </c>
      <c r="AB163" s="61">
        <v>2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A164" s="61">
        <v>1</v>
      </c>
      <c r="AB164" s="61">
        <v>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A165" s="61">
        <v>1</v>
      </c>
      <c r="AB165" s="61">
        <v>2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A166" s="61">
        <v>1</v>
      </c>
      <c r="AB166" s="61">
        <v>2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A167" s="61">
        <v>1</v>
      </c>
      <c r="AB167" s="61">
        <v>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A168" s="61">
        <v>1</v>
      </c>
      <c r="AB168" s="61">
        <v>2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A169" s="61">
        <v>1</v>
      </c>
      <c r="AB169" s="61">
        <v>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A170" s="61">
        <v>1</v>
      </c>
      <c r="AB170" s="61">
        <v>2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A171" s="61">
        <v>1</v>
      </c>
      <c r="AB171" s="61">
        <v>2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A172" s="61">
        <v>1</v>
      </c>
      <c r="AB172" s="61">
        <v>2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A173" s="61">
        <v>1</v>
      </c>
      <c r="AB173" s="61">
        <v>2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A174" s="61">
        <v>1</v>
      </c>
      <c r="AB174" s="61">
        <v>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A175" s="61">
        <v>1</v>
      </c>
      <c r="AB175" s="61">
        <v>2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A176" s="61">
        <v>1</v>
      </c>
      <c r="AB176" s="61">
        <v>2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A177" s="61">
        <v>1</v>
      </c>
      <c r="AB177" s="61">
        <v>2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A178" s="61">
        <v>1</v>
      </c>
      <c r="AB178" s="61">
        <v>2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A179" s="61">
        <v>1</v>
      </c>
      <c r="AB179" s="61">
        <v>2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A180" s="61">
        <v>1</v>
      </c>
      <c r="AB180" s="61">
        <v>2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A181" s="61">
        <v>1</v>
      </c>
      <c r="AB181" s="61">
        <v>2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A182" s="61">
        <v>1</v>
      </c>
      <c r="AB182" s="61">
        <v>2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A183" s="61">
        <v>1</v>
      </c>
      <c r="AB183" s="61">
        <v>2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A184" s="61">
        <v>1</v>
      </c>
      <c r="AB184" s="61">
        <v>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A185" s="61">
        <v>1</v>
      </c>
      <c r="AB185" s="61">
        <v>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A186" s="61">
        <v>1</v>
      </c>
      <c r="AB186" s="61">
        <v>2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A187" s="61">
        <v>1</v>
      </c>
      <c r="AB187" s="61">
        <v>2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A188" s="61">
        <v>1</v>
      </c>
      <c r="AB188" s="61">
        <v>2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A189" s="61">
        <v>1</v>
      </c>
      <c r="AB189" s="61">
        <v>2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A190" s="61">
        <v>1</v>
      </c>
      <c r="AB190" s="61">
        <v>2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A191" s="61">
        <v>1</v>
      </c>
      <c r="AB191" s="61">
        <v>2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A192" s="61">
        <v>1</v>
      </c>
      <c r="AB192" s="61">
        <v>2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A193" s="61">
        <v>1</v>
      </c>
      <c r="AB193" s="61">
        <v>2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A194" s="61">
        <v>1</v>
      </c>
      <c r="AB194" s="61">
        <v>2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A195" s="61">
        <v>1</v>
      </c>
      <c r="AB195" s="61">
        <v>2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A196" s="61">
        <v>1</v>
      </c>
      <c r="AB196" s="61">
        <v>2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A197" s="61">
        <v>1</v>
      </c>
      <c r="AB197" s="61">
        <v>2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A198" s="61">
        <v>1</v>
      </c>
      <c r="AB198" s="61">
        <v>2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A199" s="61">
        <v>1</v>
      </c>
      <c r="AB199" s="61">
        <v>2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A200" s="61">
        <v>1</v>
      </c>
      <c r="AB200" s="61">
        <v>2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A201" s="61">
        <v>1</v>
      </c>
      <c r="AB201" s="61">
        <v>2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A202" s="61">
        <v>1</v>
      </c>
      <c r="AB202" s="61">
        <v>2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A203" s="61">
        <v>1</v>
      </c>
      <c r="AB203" s="61">
        <v>2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A204" s="61">
        <v>1</v>
      </c>
      <c r="AB204" s="61">
        <v>2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A205" s="61">
        <v>1</v>
      </c>
      <c r="AB205" s="61">
        <v>2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A206" s="61">
        <v>1</v>
      </c>
      <c r="AB206" s="61">
        <v>2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A207" s="61">
        <v>1</v>
      </c>
      <c r="AB207" s="61">
        <v>2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A208" s="61">
        <v>1</v>
      </c>
      <c r="AB208" s="61">
        <v>2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A209" s="61">
        <v>1</v>
      </c>
      <c r="AB209" s="61">
        <v>2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A210" s="61">
        <v>1</v>
      </c>
      <c r="AB210" s="61">
        <v>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A211" s="61">
        <v>1</v>
      </c>
      <c r="AB211" s="61">
        <v>2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A212" s="61">
        <v>1</v>
      </c>
      <c r="AB212" s="61">
        <v>2</v>
      </c>
      <c r="AI212" s="61">
        <v>89.61</v>
      </c>
    </row>
    <row r="213" s="61" customFormat="1" customHeight="1" spans="1:35">
      <c r="A213" s="65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A213" s="61">
        <v>1</v>
      </c>
      <c r="AB213" s="61">
        <v>2</v>
      </c>
      <c r="AI213" s="61">
        <v>88.08</v>
      </c>
    </row>
    <row r="214" s="61" customFormat="1" customHeight="1" spans="1:35">
      <c r="A214" s="65">
        <v>45963</v>
      </c>
      <c r="B214" s="61" t="s">
        <v>215</v>
      </c>
      <c r="C214" s="61">
        <v>142.14</v>
      </c>
      <c r="D214" s="61">
        <v>93.2</v>
      </c>
      <c r="E214" s="61">
        <v>544.1</v>
      </c>
      <c r="F214" s="61">
        <v>508.8</v>
      </c>
      <c r="G214" s="61">
        <v>504.6</v>
      </c>
      <c r="H214" s="61">
        <v>488.9</v>
      </c>
      <c r="I214" s="61">
        <v>490.5</v>
      </c>
      <c r="J214" s="61">
        <v>493.5</v>
      </c>
      <c r="K214" s="61">
        <v>490.1</v>
      </c>
      <c r="L214" s="61">
        <v>511</v>
      </c>
      <c r="M214" s="61">
        <v>484.2</v>
      </c>
      <c r="N214" s="61">
        <v>493</v>
      </c>
      <c r="O214" s="61">
        <v>509.9</v>
      </c>
      <c r="P214" s="61">
        <v>496.4</v>
      </c>
      <c r="Q214" s="61">
        <v>505</v>
      </c>
      <c r="R214" s="61">
        <v>514.4</v>
      </c>
      <c r="S214" s="61">
        <v>539.5</v>
      </c>
      <c r="AA214" s="61">
        <v>1</v>
      </c>
      <c r="AB214" s="61">
        <v>2</v>
      </c>
      <c r="AI214" s="61">
        <v>89.56</v>
      </c>
    </row>
    <row r="215" s="61" customFormat="1" customHeight="1" spans="1:35">
      <c r="A215" s="65">
        <v>45968</v>
      </c>
      <c r="B215" s="61" t="s">
        <v>216</v>
      </c>
      <c r="C215" s="61">
        <v>170.17</v>
      </c>
      <c r="D215" s="61">
        <v>113</v>
      </c>
      <c r="E215" s="61">
        <v>465.8</v>
      </c>
      <c r="F215" s="61">
        <v>468.2</v>
      </c>
      <c r="G215" s="61">
        <v>479.6</v>
      </c>
      <c r="H215" s="61">
        <v>519.4</v>
      </c>
      <c r="I215" s="61">
        <v>491</v>
      </c>
      <c r="J215" s="61">
        <v>492.6</v>
      </c>
      <c r="K215" s="61">
        <v>498.8</v>
      </c>
      <c r="L215" s="61">
        <v>494.8</v>
      </c>
      <c r="M215" s="61">
        <v>501</v>
      </c>
      <c r="N215" s="61">
        <v>505.6</v>
      </c>
      <c r="O215" s="61">
        <v>501.7</v>
      </c>
      <c r="P215" s="61">
        <v>500.3</v>
      </c>
      <c r="Q215" s="61">
        <v>499.1</v>
      </c>
      <c r="R215" s="61">
        <v>497.4</v>
      </c>
      <c r="S215" s="61">
        <v>491.6</v>
      </c>
      <c r="T215" s="61">
        <v>485.9</v>
      </c>
      <c r="U215" s="61">
        <v>477</v>
      </c>
      <c r="V215" s="61">
        <v>483.7</v>
      </c>
      <c r="AA215" s="61">
        <v>1</v>
      </c>
      <c r="AB215" s="61">
        <v>2</v>
      </c>
      <c r="AI215" s="61">
        <v>93.11</v>
      </c>
    </row>
    <row r="216" s="61" customFormat="1" customHeight="1" spans="1:35">
      <c r="A216" s="65">
        <v>45968</v>
      </c>
      <c r="B216" s="61" t="s">
        <v>217</v>
      </c>
      <c r="C216" s="61">
        <v>170.14</v>
      </c>
      <c r="D216" s="61">
        <v>117.2</v>
      </c>
      <c r="E216" s="61">
        <v>491.3</v>
      </c>
      <c r="F216" s="61">
        <v>494.1</v>
      </c>
      <c r="G216" s="61">
        <v>502.6</v>
      </c>
      <c r="H216" s="61">
        <v>514.7</v>
      </c>
      <c r="I216" s="61">
        <v>528.5</v>
      </c>
      <c r="J216" s="61">
        <v>530.2</v>
      </c>
      <c r="K216" s="61">
        <v>530.6</v>
      </c>
      <c r="L216" s="61">
        <v>525.4</v>
      </c>
      <c r="M216" s="61">
        <v>527.7</v>
      </c>
      <c r="N216" s="61">
        <v>526.4</v>
      </c>
      <c r="O216" s="61">
        <v>527.9</v>
      </c>
      <c r="P216" s="61">
        <v>524.4</v>
      </c>
      <c r="Q216" s="61">
        <v>523.6</v>
      </c>
      <c r="R216" s="61">
        <v>513.5</v>
      </c>
      <c r="S216" s="61">
        <v>504.4</v>
      </c>
      <c r="T216" s="61">
        <v>500.9</v>
      </c>
      <c r="U216" s="61">
        <v>498.5</v>
      </c>
      <c r="V216" s="61">
        <v>501.9</v>
      </c>
      <c r="AA216" s="61">
        <v>1</v>
      </c>
      <c r="AB216" s="61">
        <v>2</v>
      </c>
      <c r="AI216" s="61">
        <v>92.28</v>
      </c>
    </row>
    <row r="217" s="61" customFormat="1" customHeight="1" spans="1:35">
      <c r="A217" s="65">
        <v>45968</v>
      </c>
      <c r="B217" s="61" t="s">
        <v>218</v>
      </c>
      <c r="C217" s="61">
        <v>170.19</v>
      </c>
      <c r="D217" s="61">
        <v>116.7</v>
      </c>
      <c r="E217" s="61">
        <v>490.6</v>
      </c>
      <c r="F217" s="61">
        <v>494.3</v>
      </c>
      <c r="G217" s="61">
        <v>504.9</v>
      </c>
      <c r="H217" s="61">
        <v>517.9</v>
      </c>
      <c r="I217" s="61">
        <v>530.3</v>
      </c>
      <c r="J217" s="61">
        <v>530.2</v>
      </c>
      <c r="K217" s="61">
        <v>533</v>
      </c>
      <c r="L217" s="61">
        <v>529.2</v>
      </c>
      <c r="M217" s="61">
        <v>525.7</v>
      </c>
      <c r="N217" s="61">
        <v>523.3</v>
      </c>
      <c r="O217" s="61">
        <v>529.8</v>
      </c>
      <c r="P217" s="61">
        <v>518.2</v>
      </c>
      <c r="Q217" s="61">
        <v>518.5</v>
      </c>
      <c r="R217" s="61">
        <v>507.8</v>
      </c>
      <c r="S217" s="61">
        <v>502.5</v>
      </c>
      <c r="T217" s="61">
        <v>497.2</v>
      </c>
      <c r="U217" s="61">
        <v>496.6</v>
      </c>
      <c r="V217" s="61">
        <v>516.5</v>
      </c>
      <c r="AA217" s="61">
        <v>1</v>
      </c>
      <c r="AB217" s="61">
        <v>2</v>
      </c>
      <c r="AI217" s="61">
        <v>91.86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219</v>
      </c>
      <c r="D1" s="4" t="s">
        <v>220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221</v>
      </c>
      <c r="J25" s="21" t="e">
        <f>D2*10000000/(400*C2*R3*7.25)</f>
        <v>#DIV/0!</v>
      </c>
      <c r="K25" s="21" t="s">
        <v>222</v>
      </c>
      <c r="L25" s="21">
        <f>MAX(E3:Q3)</f>
        <v>0</v>
      </c>
      <c r="M25" s="21" t="s">
        <v>223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224</v>
      </c>
      <c r="J26" s="23">
        <f>C2</f>
        <v>0</v>
      </c>
      <c r="K26" s="23" t="s">
        <v>225</v>
      </c>
      <c r="L26" s="23">
        <f>MIN(E3:Q3)</f>
        <v>0</v>
      </c>
      <c r="M26" s="23" t="s">
        <v>226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227</v>
      </c>
      <c r="J27" s="23" t="e">
        <f>R3</f>
        <v>#DIV/0!</v>
      </c>
      <c r="K27" s="23" t="s">
        <v>228</v>
      </c>
      <c r="L27" s="23">
        <f>L25-L26</f>
        <v>0</v>
      </c>
      <c r="M27" s="23" t="s">
        <v>229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230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219</v>
      </c>
      <c r="D1" s="1" t="s">
        <v>220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231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221</v>
      </c>
      <c r="J24" s="21">
        <f>D2*10000000/(400*C2*T3*7.25)</f>
        <v>91.7735864880767</v>
      </c>
      <c r="K24" s="21" t="s">
        <v>222</v>
      </c>
      <c r="L24" s="21">
        <f>MAX(E3:S3)</f>
        <v>27.13</v>
      </c>
      <c r="M24" s="21" t="s">
        <v>223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224</v>
      </c>
      <c r="J25" s="23">
        <f>C2</f>
        <v>142.04</v>
      </c>
      <c r="K25" s="23" t="s">
        <v>225</v>
      </c>
      <c r="L25" s="23">
        <f>MIN(E3:S3)</f>
        <v>24.59</v>
      </c>
      <c r="M25" s="23" t="s">
        <v>232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227</v>
      </c>
      <c r="J26" s="23">
        <f>T3</f>
        <v>25.6593333333333</v>
      </c>
      <c r="K26" s="23" t="s">
        <v>228</v>
      </c>
      <c r="L26" s="23">
        <f>L24-L25</f>
        <v>2.54</v>
      </c>
      <c r="M26" s="23" t="s">
        <v>229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230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219</v>
      </c>
      <c r="D1" s="4" t="s">
        <v>220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233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221</v>
      </c>
      <c r="L21" s="21">
        <f>D2*10000000/(400*C2*W3*7.25)</f>
        <v>92.1735127126396</v>
      </c>
      <c r="M21" s="21" t="s">
        <v>222</v>
      </c>
      <c r="N21" s="21">
        <f>MAX(E3:V3)</f>
        <v>25.765</v>
      </c>
      <c r="O21" s="21" t="s">
        <v>223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224</v>
      </c>
      <c r="L22" s="23">
        <f>C2</f>
        <v>170.33</v>
      </c>
      <c r="M22" s="23" t="s">
        <v>225</v>
      </c>
      <c r="N22" s="23">
        <f>MIN(E3:V3)</f>
        <v>22.91</v>
      </c>
      <c r="O22" s="23" t="s">
        <v>226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227</v>
      </c>
      <c r="L23" s="23">
        <f>W3</f>
        <v>25.0825</v>
      </c>
      <c r="M23" s="23" t="s">
        <v>228</v>
      </c>
      <c r="N23" s="23">
        <f>N21-N22</f>
        <v>2.855</v>
      </c>
      <c r="O23" s="23" t="s">
        <v>229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230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219</v>
      </c>
      <c r="D1" s="4" t="s">
        <v>220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234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221</v>
      </c>
      <c r="M25" s="21">
        <f>D2*10000000/(400*C2*AA3*7.25)</f>
        <v>87.6529755684048</v>
      </c>
      <c r="N25" s="21" t="s">
        <v>222</v>
      </c>
      <c r="O25" s="21">
        <f>MAX(E3:Z3)</f>
        <v>27.25</v>
      </c>
      <c r="P25" s="21" t="s">
        <v>223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224</v>
      </c>
      <c r="M26" s="23">
        <f>C2</f>
        <v>170.25</v>
      </c>
      <c r="N26" s="23" t="s">
        <v>225</v>
      </c>
      <c r="O26" s="23">
        <f>MIN(E3:Z3)</f>
        <v>24.26</v>
      </c>
      <c r="P26" s="23" t="s">
        <v>226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227</v>
      </c>
      <c r="M27" s="23">
        <f>AA3</f>
        <v>25.0713636363636</v>
      </c>
      <c r="N27" s="23" t="s">
        <v>228</v>
      </c>
      <c r="O27" s="23">
        <f>O25-O26</f>
        <v>2.99</v>
      </c>
      <c r="P27" s="23" t="s">
        <v>229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230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2026-01-18T21:47:11Z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