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1月120" sheetId="1" r:id="rId1"/>
  </sheets>
  <definedNames>
    <definedName name="_xlnm._FilterDatabase" localSheetId="0" hidden="1">'1月120'!$A$2:$CA$3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<sst xmlns="http://schemas.openxmlformats.org/spreadsheetml/2006/main" count="59" uniqueCount="52">
  <si>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检验日期</t>
  </si>
  <si>
    <t>喷次</t>
  </si>
  <si>
    <t>贴标</t>
  </si>
  <si>
    <t>炉号</t>
  </si>
  <si>
    <t>1.35T</t>
  </si>
  <si>
    <t>50Hz</t>
  </si>
  <si>
    <t>Hc
(A/m)</t>
  </si>
  <si>
    <t>刻痕后性能</t>
  </si>
  <si>
    <t>性能
录入员</t>
  </si>
  <si>
    <t xml:space="preserve">一米      带材     重量  （g）     </t>
  </si>
  <si>
    <t>带宽（mm)</t>
  </si>
  <si>
    <t xml:space="preserve">带厚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</si>
  <si>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带厚范围</t>
  </si>
  <si>
    <t>带厚极差</t>
  </si>
  <si>
    <t>密度     (g/cm3)</t>
  </si>
  <si>
    <t>叠片
系数</t>
  </si>
  <si>
    <t xml:space="preserve">韧性 </t>
  </si>
  <si>
    <t>脆边</t>
  </si>
  <si>
    <t>麻点</t>
  </si>
  <si>
    <t>划痕</t>
  </si>
  <si>
    <t>网眼</t>
  </si>
  <si>
    <t>毛边</t>
  </si>
  <si>
    <t>亮线</t>
  </si>
  <si>
    <t>劈裂</t>
  </si>
  <si>
    <t>棱</t>
  </si>
  <si>
    <t>龟裂纹</t>
  </si>
  <si>
    <t>断头数（个）</t>
  </si>
  <si>
    <t>单卷重量（kg)</t>
  </si>
  <si>
    <t>外观   检验员</t>
  </si>
  <si>
    <t>平均
厚度</t>
  </si>
  <si>
    <t>磁性能
判定</t>
  </si>
  <si>
    <t>厚度
判定</t>
  </si>
  <si>
    <t>叠片系数判定</t>
  </si>
  <si>
    <t>中Si</t>
  </si>
  <si>
    <t>中B</t>
  </si>
  <si>
    <t>左花纹</t>
  </si>
  <si>
    <t>中花纹</t>
  </si>
  <si>
    <t>右花纹</t>
  </si>
  <si>
    <t>四米带
材重量（g）</t>
  </si>
  <si>
    <t>叠片系数厚度分布</t>
  </si>
  <si>
    <t>最大
厚度</t>
  </si>
  <si>
    <t>最大
平均
厚度</t>
  </si>
  <si>
    <t>录
入
人</t>
  </si>
  <si>
    <t>带型</t>
  </si>
  <si>
    <t>一次交检</t>
  </si>
  <si>
    <t>班次</t>
  </si>
  <si>
    <t>Ss激磁功率
(VA/kg)</t>
  </si>
  <si>
    <t>Ps铁损
(W/kg)</t>
  </si>
  <si>
    <t>纹
宽</t>
  </si>
  <si>
    <t>纹间距</t>
  </si>
  <si>
    <t xml:space="preserve">纹间距 </t>
  </si>
  <si>
    <t>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</si>
</sst>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_ "/>
    <numFmt numFmtId="179" formatCode="m&quot;月&quot;d&quot;日&quot;;@"/>
    <numFmt numFmtId="180" formatCode="0.00;[Red]0.00"/>
    <numFmt numFmtId="181" formatCode="0.0_);[Red]\(0.0\)"/>
  </numFmts>
  <fonts count="28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sz val="10"/>
      <color indexed="8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4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58" fontId="0" fillId="2" borderId="2" xfId="0" applyNumberFormat="1" applyFill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center" vertical="center" wrapText="1"/>
      <protection hidden="1"/>
    </xf>
    <xf numFmtId="0" fontId="4" fillId="3" borderId="3" xfId="0" applyFont="1" applyFill="1" applyBorder="1" applyAlignment="1" applyProtection="1">
      <alignment horizontal="center" vertical="center" wrapText="1"/>
      <protection hidden="1"/>
    </xf>
    <xf numFmtId="0" fontId="5" fillId="3" borderId="4" xfId="0" applyFont="1" applyFill="1" applyBorder="1" applyAlignment="1" applyProtection="1">
      <alignment horizontal="center" vertical="center" wrapText="1"/>
      <protection hidden="1"/>
    </xf>
    <xf numFmtId="176" fontId="3" fillId="2" borderId="2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177" fontId="2" fillId="2" borderId="5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177" fontId="5" fillId="2" borderId="3" xfId="0" applyNumberFormat="1" applyFont="1" applyFill="1" applyBorder="1" applyAlignment="1" applyProtection="1">
      <alignment horizontal="center" vertical="center" wrapText="1"/>
      <protection hidden="1"/>
    </xf>
    <xf numFmtId="177" fontId="5" fillId="2" borderId="5" xfId="0" applyNumberFormat="1" applyFont="1" applyFill="1" applyBorder="1" applyAlignment="1" applyProtection="1">
      <alignment horizontal="center" vertical="center" wrapText="1"/>
      <protection hidden="1"/>
    </xf>
    <xf numFmtId="0" fontId="3" fillId="2" borderId="7" xfId="0" applyFont="1" applyFill="1" applyBorder="1" applyAlignment="1" applyProtection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58" fontId="0" fillId="2" borderId="11" xfId="0" applyNumberFormat="1" applyFill="1" applyBorder="1" applyAlignment="1">
      <alignment horizontal="center" vertical="center"/>
    </xf>
    <xf numFmtId="0" fontId="0" fillId="3" borderId="11" xfId="0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0" fontId="3" fillId="3" borderId="10" xfId="0" applyFont="1" applyFill="1" applyBorder="1" applyAlignment="1" applyProtection="1">
      <alignment horizontal="center" vertical="center"/>
      <protection hidden="1"/>
    </xf>
    <xf numFmtId="0" fontId="4" fillId="3" borderId="12" xfId="0" applyFont="1" applyFill="1" applyBorder="1" applyAlignment="1" applyProtection="1">
      <alignment horizontal="center" vertical="center" wrapText="1"/>
      <protection hidden="1"/>
    </xf>
    <xf numFmtId="0" fontId="6" fillId="3" borderId="10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77" fontId="6" fillId="3" borderId="10" xfId="0" applyNumberFormat="1" applyFont="1" applyFill="1" applyBorder="1" applyAlignment="1">
      <alignment horizontal="center" vertical="center"/>
    </xf>
    <xf numFmtId="177" fontId="2" fillId="2" borderId="13" xfId="0" applyNumberFormat="1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0" xfId="0" applyFont="1" applyFill="1" applyBorder="1" applyAlignment="1" applyProtection="1">
      <alignment horizontal="center" vertical="center" wrapText="1"/>
      <protection hidden="1"/>
    </xf>
    <xf numFmtId="177" fontId="5" fillId="2" borderId="0" xfId="0" applyNumberFormat="1" applyFont="1" applyFill="1" applyAlignment="1" applyProtection="1">
      <alignment horizontal="center" vertical="center" wrapText="1"/>
      <protection hidden="1"/>
    </xf>
    <xf numFmtId="0" fontId="8" fillId="2" borderId="1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78" fontId="0" fillId="2" borderId="10" xfId="0" applyNumberForma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vertical="center"/>
    </xf>
    <xf numFmtId="179" fontId="2" fillId="2" borderId="7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>
      <alignment horizontal="center" vertical="center"/>
    </xf>
    <xf numFmtId="180" fontId="0" fillId="2" borderId="8" xfId="0" applyNumberFormat="1" applyFill="1" applyBorder="1" applyAlignment="1">
      <alignment horizontal="center" vertical="center"/>
    </xf>
    <xf numFmtId="180" fontId="0" fillId="2" borderId="3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81" fontId="0" fillId="2" borderId="3" xfId="0" applyNumberForma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1" fontId="0" fillId="2" borderId="7" xfId="0" applyNumberForma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3">
    <dxf>
      <font>
        <color indexed="10"/>
      </font>
    </dxf>
    <dxf>
      <font>
        <color indexed="60"/>
      </font>
    </dxf>
    <dxf>
      <fill>
        <patternFill patternType="solid">
          <bgColor theme="5" tint="0.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209550</xdr:colOff>
      <xdr:row>0</xdr:row>
      <xdr:rowOff>25400</xdr:rowOff>
    </xdr:from>
    <xdr:to>
      <xdr:col>3</xdr:col>
      <xdr:colOff>823595</xdr:colOff>
      <xdr:row>1</xdr:row>
      <xdr:rowOff>389255</xdr:rowOff>
    </xdr:to>
    <xdr:pic>
      <xdr:nvPicPr>
        <xdr:cNvPr id="2" name="图片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90750" y="25400"/>
          <a:ext cx="614045" cy="681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B3"/>
  <sheetViews>
    <sheetView tabSelected="1" workbookViewId="0">
      <pane xSplit="10" ySplit="2" topLeftCell="K3" activePane="bottomRight" state="frozen"/>
      <selection/>
      <selection pane="topRight"/>
      <selection pane="bottomLeft"/>
      <selection pane="bottomRight" activeCell="S13" sqref="S13"/>
    </sheetView>
  </sheetViews>
  <sheetFormatPr defaultColWidth="9" defaultRowHeight="20" customHeight="1" outlineLevelRow="2"/>
  <cols>
    <col min="1" max="1" width="8.62962962962963" customWidth="1"/>
    <col min="2" max="2" width="11.6296296296296" customWidth="1"/>
    <col min="3" max="3" width="8.62962962962963" customWidth="1"/>
    <col min="4" max="4" width="30.6296296296296" customWidth="1"/>
    <col min="5" max="7" width="10.6296296296296" customWidth="1"/>
    <col min="8" max="10" width="9.00925925925926" customWidth="1"/>
    <col min="11" max="11" width="5.62962962962963" customWidth="1"/>
    <col min="12" max="13" width="7.62962962962963" customWidth="1"/>
    <col min="14" max="27" width="6.12962962962963" customWidth="1"/>
    <col min="28" max="28" width="4.12962962962963" customWidth="1"/>
    <col min="29" max="29" width="6.12962962962963" customWidth="1"/>
    <col min="30" max="30" width="7.22222222222222" customWidth="1"/>
    <col min="31" max="32" width="11" customWidth="1"/>
    <col min="33" max="46" width="6.62962962962963" customWidth="1"/>
    <col min="47" max="49" width="7.12962962962963" customWidth="1"/>
    <col min="50" max="53" width="4.62962962962963" customWidth="1"/>
    <col min="54" max="59" width="4.12962962962963" customWidth="1"/>
    <col min="60" max="73" width="5.62962962962963" customWidth="1"/>
    <col min="74" max="74" width="6.62962962962963" customWidth="1"/>
    <col min="75" max="75" width="5.62962962962963" customWidth="1"/>
    <col min="76" max="76" width="6.62962962962963" customWidth="1"/>
    <col min="77" max="77" width="4.62962962962963" customWidth="1"/>
    <col min="78" max="78" width="6.62962962962963" customWidth="1"/>
    <col min="79" max="79" width="8.62962962962963" customWidth="1"/>
    <col min="80" max="80" width="14.6296296296296" customWidth="1"/>
  </cols>
  <sheetData>
    <row r="1" s="1" customFormat="1" ht="25" customHeight="1" spans="1:80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7"/>
      <c r="J1" s="7"/>
      <c r="K1" s="8" t="s">
        <v>8</v>
      </c>
      <c r="L1" s="9" t="s">
        <v>9</v>
      </c>
      <c r="M1" s="10" t="s">
        <v>10</v>
      </c>
      <c r="N1" s="11" t="s">
        <v>11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 t="s">
        <v>12</v>
      </c>
      <c r="AB1" s="13"/>
      <c r="AC1" s="14"/>
      <c r="AD1" s="15" t="s">
        <v>13</v>
      </c>
      <c r="AE1" s="15" t="s">
        <v>14</v>
      </c>
      <c r="AF1" s="15" t="s">
        <v>15</v>
      </c>
      <c r="AG1" s="16" t="s">
        <v>16</v>
      </c>
      <c r="AH1" s="17" t="s">
        <v>17</v>
      </c>
      <c r="AI1" s="18" t="s">
        <v>18</v>
      </c>
      <c r="AJ1" s="19" t="s">
        <v>19</v>
      </c>
      <c r="AK1" s="19" t="s">
        <v>20</v>
      </c>
      <c r="AL1" s="19" t="s">
        <v>21</v>
      </c>
      <c r="AM1" s="19" t="s">
        <v>22</v>
      </c>
      <c r="AN1" s="19" t="s">
        <v>23</v>
      </c>
      <c r="AO1" s="20" t="s">
        <v>24</v>
      </c>
      <c r="AP1" s="20" t="s">
        <v>25</v>
      </c>
      <c r="AQ1" s="19" t="s">
        <v>26</v>
      </c>
      <c r="AR1" s="19" t="s">
        <v>27</v>
      </c>
      <c r="AS1" s="21" t="s">
        <v>28</v>
      </c>
      <c r="AT1" s="22" t="s">
        <v>29</v>
      </c>
      <c r="AU1" s="23" t="s">
        <v>30</v>
      </c>
      <c r="AV1" s="23" t="s">
        <v>31</v>
      </c>
      <c r="AW1" s="24" t="s">
        <v>32</v>
      </c>
      <c r="AX1" s="25"/>
      <c r="AY1" s="26" t="s">
        <v>33</v>
      </c>
      <c r="AZ1" s="26" t="s">
        <v>34</v>
      </c>
      <c r="BA1" s="27"/>
      <c r="BB1" s="28" t="s">
        <v>35</v>
      </c>
      <c r="BC1" s="29"/>
      <c r="BD1" s="28" t="s">
        <v>36</v>
      </c>
      <c r="BE1" s="29"/>
      <c r="BF1" s="28" t="s">
        <v>37</v>
      </c>
      <c r="BG1" s="29"/>
      <c r="BH1" s="21" t="s">
        <v>38</v>
      </c>
      <c r="BI1" s="30" t="s">
        <v>39</v>
      </c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2" t="s">
        <v>40</v>
      </c>
      <c r="BW1" s="32" t="s">
        <v>41</v>
      </c>
      <c r="BX1" s="33" t="s">
        <v>15</v>
      </c>
      <c r="BY1" s="32" t="s">
        <v>42</v>
      </c>
      <c r="BZ1" s="34" t="s">
        <v>43</v>
      </c>
      <c r="CA1" s="35" t="s">
        <v>44</v>
      </c>
      <c r="CB1" s="36" t="s">
        <v>45</v>
      </c>
    </row>
    <row r="2" s="1" customFormat="1" ht="32" customHeight="1" spans="1:80">
      <c r="A2" s="37"/>
      <c r="B2" s="38"/>
      <c r="C2" s="38"/>
      <c r="D2" s="39"/>
      <c r="E2" s="40" t="s">
        <v>46</v>
      </c>
      <c r="F2" s="40" t="s">
        <v>47</v>
      </c>
      <c r="G2" s="41"/>
      <c r="H2" s="7" t="s">
        <v>46</v>
      </c>
      <c r="I2" s="42" t="s">
        <v>47</v>
      </c>
      <c r="J2" s="43" t="s">
        <v>6</v>
      </c>
      <c r="K2" s="44"/>
      <c r="L2" s="45"/>
      <c r="M2" s="46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5"/>
      <c r="AB2" s="48"/>
      <c r="AC2" s="49"/>
      <c r="AD2" s="50"/>
      <c r="AE2" s="50"/>
      <c r="AF2" s="50"/>
      <c r="AG2" s="51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3"/>
      <c r="AT2" s="54"/>
      <c r="AU2" s="23"/>
      <c r="AV2" s="23"/>
      <c r="AW2" s="55"/>
      <c r="AX2" s="56"/>
      <c r="AY2" s="55"/>
      <c r="AZ2" s="55"/>
      <c r="BA2" s="57"/>
      <c r="BB2" s="58" t="s">
        <v>48</v>
      </c>
      <c r="BC2" s="59" t="s">
        <v>49</v>
      </c>
      <c r="BD2" s="58" t="s">
        <v>48</v>
      </c>
      <c r="BE2" s="58" t="s">
        <v>50</v>
      </c>
      <c r="BF2" s="58" t="s">
        <v>48</v>
      </c>
      <c r="BG2" s="58" t="s">
        <v>49</v>
      </c>
      <c r="BH2" s="53"/>
      <c r="BI2" s="60">
        <v>1</v>
      </c>
      <c r="BJ2" s="60">
        <v>2</v>
      </c>
      <c r="BK2" s="60">
        <v>3</v>
      </c>
      <c r="BL2" s="60">
        <v>4</v>
      </c>
      <c r="BM2" s="60">
        <v>5</v>
      </c>
      <c r="BN2" s="60">
        <v>6</v>
      </c>
      <c r="BO2" s="60">
        <v>7</v>
      </c>
      <c r="BP2" s="60">
        <v>8</v>
      </c>
      <c r="BQ2" s="60">
        <v>9</v>
      </c>
      <c r="BR2" s="60">
        <v>10</v>
      </c>
      <c r="BS2" s="60">
        <v>11</v>
      </c>
      <c r="BT2" s="60">
        <v>12</v>
      </c>
      <c r="BU2" s="60">
        <v>13</v>
      </c>
      <c r="BV2" s="61"/>
      <c r="BW2" s="61"/>
      <c r="BX2" s="62"/>
      <c r="BY2" s="61"/>
      <c r="BZ2" s="61"/>
      <c r="CA2" s="63"/>
      <c r="CB2" s="36"/>
    </row>
    <row r="3" s="1" customFormat="1" customHeight="1" spans="1:80">
      <c r="A3" s="64"/>
      <c r="B3" s="65" t="str">
        <f>MID(D3,3,10)</f>
        <v/>
      </c>
      <c r="C3" s="66" t="str">
        <f>IF(AND(OR(AND(F3&lt;=0.14,I3=""),AND(I3&gt;0,I3&lt;=0.14)),AND(119.5&lt;=M3,M3&lt;=120.5),AD3&lt;=2.5,88&lt;=AF3,AQ3&lt;=5,AT3&gt;23,AT3&lt;=27,(N3-O3)&lt;=1.5,(Z3-Y3)&lt;=1.5,AG3="",AH3="",AI3="",AJ3="",AK3="",AL3="",AM3="",AN3="",AO3="",AP3=""),"A",IF(AND(OR(AND(F3&gt;0.15,I3=""),I3&gt;0.15),AND(119.5&lt;=M3,M3&lt;=120.5),AD3&lt;=2.5,88&lt;=AF3,AQ3&lt;=5,AT3&lt;=27,(N3-O3)&lt;=1.5,(Z3-Y3)&lt;=1.5,AG3="",AH3="",AI3="",AJ3="",AK3="",AL3="",AM3="",AN3="",AO3="",AP3=""),"性能不合","不合格"))</f>
        <v>不合格</v>
      </c>
      <c r="D3" s="67"/>
      <c r="E3" s="60"/>
      <c r="F3" s="60"/>
      <c r="G3" s="60"/>
      <c r="H3" s="68"/>
      <c r="I3" s="68"/>
      <c r="J3" s="68"/>
      <c r="K3" s="69"/>
      <c r="L3" s="70">
        <f>BH3/4</f>
        <v>0</v>
      </c>
      <c r="M3" s="71"/>
      <c r="N3" s="72">
        <f>BI3/20</f>
        <v>0</v>
      </c>
      <c r="O3" s="73">
        <f>BJ3/20</f>
        <v>0</v>
      </c>
      <c r="P3" s="73">
        <f>BK3/20</f>
        <v>0</v>
      </c>
      <c r="Q3" s="73">
        <f>BL3/20</f>
        <v>0</v>
      </c>
      <c r="R3" s="73">
        <f>BM3/20</f>
        <v>0</v>
      </c>
      <c r="S3" s="73">
        <f>BN3/20</f>
        <v>0</v>
      </c>
      <c r="T3" s="73">
        <f>BO3/20</f>
        <v>0</v>
      </c>
      <c r="U3" s="73">
        <f>BP3/20</f>
        <v>0</v>
      </c>
      <c r="V3" s="73">
        <f>BQ3/20</f>
        <v>0</v>
      </c>
      <c r="W3" s="73">
        <f>BR3/20</f>
        <v>0</v>
      </c>
      <c r="X3" s="73">
        <f>BS3/20</f>
        <v>0</v>
      </c>
      <c r="Y3" s="73">
        <f>BT3/20</f>
        <v>0</v>
      </c>
      <c r="Z3" s="73">
        <f>BU3/20</f>
        <v>0</v>
      </c>
      <c r="AA3" s="73">
        <f>MIN(N3:Z3)</f>
        <v>0</v>
      </c>
      <c r="AB3" s="74" t="s">
        <v>51</v>
      </c>
      <c r="AC3" s="73">
        <f>MAX(N3:Z3)</f>
        <v>0</v>
      </c>
      <c r="AD3" s="75">
        <f>AC3-AA3</f>
        <v>0</v>
      </c>
      <c r="AE3" s="76">
        <f>IF(M3*AT3&lt;&gt;0,L3/(M3*(AT3/10))*100,0)</f>
        <v>0</v>
      </c>
      <c r="AF3" s="76">
        <f>BX3</f>
        <v>0</v>
      </c>
      <c r="AG3" s="77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77"/>
      <c r="AT3" s="78">
        <f>AVERAGE(N3:Z3)</f>
        <v>0</v>
      </c>
      <c r="AU3" s="79" t="b">
        <f>IF(AND(0.125&gt;=F3,F3&gt;0,0.145&gt;E3,E3&gt;0),"A",IF(AND(0.135&gt;=F3,F3&gt;0.125,0.16&gt;=E3),"B",IF(AND(0.125&gt;F3,0.2&gt;=E3,E3&gt;0.145),"B1",IF(AND(0.15&gt;=F3,0.2&gt;E3,E3&gt;=0.16),"C",IF(AND(0.15&gt;=F3,F3&gt;0.135,0.16&gt;E3,E3&gt;0.145),"C1",IF(AND(F3&gt;0.15),"D"))))))</f>
        <v>0</v>
      </c>
      <c r="AV3" s="74" t="str">
        <f>IF(AND(AT3&gt;=23,AT3&lt;=27),"A",IF(OR(AT3&lt;23,AT3&gt;27),"B"))</f>
        <v>B</v>
      </c>
      <c r="AW3" s="74" t="str">
        <f>IF(AND(BX3&gt;=90),"A",IF(AND(BX3&gt;=88,BX3&lt;90),"B",IF(AND(BX3&gt;=86,BX3&lt;88),"C",IF(AND(BX3&lt;86),"D"))))</f>
        <v>D</v>
      </c>
      <c r="AX3" s="74"/>
      <c r="AY3" s="74"/>
      <c r="AZ3" s="74"/>
      <c r="BA3" s="80"/>
      <c r="BB3" s="29"/>
      <c r="BC3" s="79"/>
      <c r="BD3" s="79"/>
      <c r="BE3" s="79"/>
      <c r="BF3" s="79"/>
      <c r="BG3" s="81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74">
        <f>MAX(BI3:BU3)</f>
        <v>0</v>
      </c>
      <c r="BW3" s="74">
        <f>BV3/20</f>
        <v>0</v>
      </c>
      <c r="BX3" s="76">
        <f>IF(M3*AT3&lt;&gt;0,BH3/(M3*400*AT3*7.25*0.0000001),0)</f>
        <v>0</v>
      </c>
      <c r="BY3" s="82"/>
      <c r="BZ3" s="74">
        <f>IF(AVERAGE(S3:W3)&lt;AVERAGE(N3:R3,Y3:Z3),MIN(S3:W3)-MAX(N3:R3,Y3:Z3),MAX(S3:W3)-MIN(N3:R3,Y3:Z3))</f>
        <v>0</v>
      </c>
      <c r="CA3" s="66" t="str">
        <f>IF(AND(F3&gt;0,F3&lt;=0.14,AND(119.5&lt;=M3,M3&lt;=120.5),AD3&lt;=2.5,88&lt;=AF3,AQ3&lt;=5,AT3&gt;23,AT3&lt;=27,(N3-O3)&lt;=1.5,(Z3-Y3)&lt;=1.5,AG3="",AH3="",AI3="",AJ3="",AK3="",AL3="",AM3="",AN3="",AO3="",AP3=""),"A",IF(AND(F3&gt;0.15,AND(119.5&lt;=M3,M3&lt;=120.5),AD3&lt;=2.5,88&lt;=AF3,AQ3&lt;=5,AT3&lt;=27,(N3-O3)&lt;=1.5,(Z3-Y3)&lt;=1.5,AG3="",AH3="",AI3="",AJ3="",AK3="",AL3="",AM3="",AN3="",AO3="",AP3=""),"性能不合","不合格"))</f>
        <v>不合格</v>
      </c>
      <c r="CB3" s="36" t="str">
        <f>MID(D3,1,12)</f>
        <v/>
      </c>
    </row>
  </sheetData>
  <mergeCells count="47">
    <mergeCell ref="H1:J1"/>
    <mergeCell ref="BB1:BC1"/>
    <mergeCell ref="BD1:BE1"/>
    <mergeCell ref="BF1:BG1"/>
    <mergeCell ref="BI1:BU1"/>
    <mergeCell ref="A1:A2"/>
    <mergeCell ref="B1:B2"/>
    <mergeCell ref="C1:C2"/>
    <mergeCell ref="D1:D2"/>
    <mergeCell ref="G1:G2"/>
    <mergeCell ref="K1:K2"/>
    <mergeCell ref="L1:L2"/>
    <mergeCell ref="M1:M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H1:BH2"/>
    <mergeCell ref="BV1:BV2"/>
    <mergeCell ref="BW1:BW2"/>
    <mergeCell ref="BX1:BX2"/>
    <mergeCell ref="BY1:BY2"/>
    <mergeCell ref="BZ1:BZ2"/>
    <mergeCell ref="CA1:CA2"/>
    <mergeCell ref="CB1:CB2"/>
    <mergeCell ref="N1:Z2"/>
    <mergeCell ref="AA1:AC2"/>
  </mergeCells>
  <conditionalFormatting sqref="AG1">
    <cfRule type="cellIs" dxfId="0" priority="161" stopIfTrue="1" operator="lessThan">
      <formula>83</formula>
    </cfRule>
    <cfRule type="cellIs" dxfId="1" priority="160" stopIfTrue="1" operator="lessThan">
      <formula>83</formula>
    </cfRule>
    <cfRule type="cellIs" dxfId="0" priority="159" stopIfTrue="1" operator="lessThan">
      <formula>83</formula>
    </cfRule>
  </conditionalFormatting>
  <conditionalFormatting sqref="E3">
    <cfRule type="expression" dxfId="2" priority="20">
      <formula>AND((E3-F3)&gt;0.035,E3&gt;0.16,H3="")</formula>
    </cfRule>
  </conditionalFormatting>
  <conditionalFormatting sqref="F3">
    <cfRule type="expression" dxfId="3" priority="17">
      <formula>AND(F3&gt;0.15,I3="")</formula>
    </cfRule>
  </conditionalFormatting>
  <conditionalFormatting sqref="H3">
    <cfRule type="expression" dxfId="2" priority="19">
      <formula>AND(H3&gt;0.16,(H3-I3)&gt;0.035)</formula>
    </cfRule>
  </conditionalFormatting>
  <conditionalFormatting sqref="I3">
    <cfRule type="expression" dxfId="3" priority="18">
      <formula>I3&gt;0.15</formula>
    </cfRule>
  </conditionalFormatting>
  <conditionalFormatting sqref="M3">
    <cfRule type="expression" dxfId="3" priority="13">
      <formula>OR(M3&lt;119.5,M3&gt;120.5)</formula>
    </cfRule>
  </conditionalFormatting>
  <conditionalFormatting sqref="N3">
    <cfRule type="expression" dxfId="3" priority="16">
      <formula>(N3-O3)&gt;1.5</formula>
    </cfRule>
  </conditionalFormatting>
  <conditionalFormatting sqref="Z3">
    <cfRule type="expression" dxfId="3" priority="15">
      <formula>(Z3-Y3)&gt;1.5</formula>
    </cfRule>
  </conditionalFormatting>
  <conditionalFormatting sqref="AD3">
    <cfRule type="cellIs" dxfId="4" priority="12" operator="greaterThan">
      <formula>2.5</formula>
    </cfRule>
  </conditionalFormatting>
  <conditionalFormatting sqref="AF3">
    <cfRule type="cellIs" dxfId="4" priority="11" operator="lessThan">
      <formula>88</formula>
    </cfRule>
  </conditionalFormatting>
  <conditionalFormatting sqref="AG3">
    <cfRule type="cellIs" dxfId="4" priority="10" operator="equal">
      <formula>"严重"</formula>
    </cfRule>
  </conditionalFormatting>
  <conditionalFormatting sqref="AH3">
    <cfRule type="cellIs" dxfId="4" priority="9" operator="equal">
      <formula>"严重"</formula>
    </cfRule>
  </conditionalFormatting>
  <conditionalFormatting sqref="AI3">
    <cfRule type="cellIs" dxfId="4" priority="8" operator="equal">
      <formula>"严重"</formula>
    </cfRule>
  </conditionalFormatting>
  <conditionalFormatting sqref="AJ3">
    <cfRule type="cellIs" dxfId="4" priority="7" operator="equal">
      <formula>"严重"</formula>
    </cfRule>
  </conditionalFormatting>
  <conditionalFormatting sqref="AK3">
    <cfRule type="cellIs" dxfId="4" priority="6" operator="equal">
      <formula>"严重"</formula>
    </cfRule>
  </conditionalFormatting>
  <conditionalFormatting sqref="AL3">
    <cfRule type="cellIs" dxfId="4" priority="5" operator="equal">
      <formula>"严重"</formula>
    </cfRule>
  </conditionalFormatting>
  <conditionalFormatting sqref="AM3">
    <cfRule type="cellIs" dxfId="4" priority="4" operator="equal">
      <formula>"严重"</formula>
    </cfRule>
  </conditionalFormatting>
  <conditionalFormatting sqref="AN3">
    <cfRule type="cellIs" dxfId="4" priority="3" operator="equal">
      <formula>"严重"</formula>
    </cfRule>
  </conditionalFormatting>
  <conditionalFormatting sqref="AO3">
    <cfRule type="cellIs" dxfId="4" priority="2" operator="equal">
      <formula>"严重"</formula>
    </cfRule>
  </conditionalFormatting>
  <conditionalFormatting sqref="AP3">
    <cfRule type="cellIs" dxfId="4" priority="1" operator="equal">
      <formula>"严重"</formula>
    </cfRule>
  </conditionalFormatting>
  <conditionalFormatting sqref="AT3">
    <cfRule type="expression" dxfId="3" priority="14">
      <formula>OR(AT3&gt;27,AT3&lt;23)</formula>
    </cfRule>
  </conditionalFormatting>
  <conditionalFormatting sqref="AI1:AK1 AM1">
    <cfRule type="cellIs" dxfId="5" priority="162" stopIfTrue="1" operator="equal">
      <formula>"严重"</formula>
    </cfRule>
  </conditionalFormatting>
  <pageMargins left="0.75" right="0.75" top="1" bottom="1" header="0.5" footer="0.5"/>
  <pageSetup paperSize="9" scale="17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1月120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</dc:creator>
  <cp:lastModifiedBy>Dawn</cp:lastModifiedBy>
  <dcterms:created xsi:type="dcterms:W3CDTF">2026-01-29T15:18:57Z</dcterms:created>
  <dcterms:modified xsi:type="dcterms:W3CDTF">2026-01-29T15:20:55Z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1ECC9E552F9F4069BD5C89937782A3F1_11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